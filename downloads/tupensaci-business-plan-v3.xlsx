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7.xml" ContentType="application/vnd.openxmlformats-officedocument.spreadsheetml.comments+xml"/>
  <Override PartName="/xl/comments2.xml" ContentType="application/vnd.openxmlformats-officedocument.spreadsheetml.comment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comments3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ecutive Summary" sheetId="1" state="visible" r:id="rId3"/>
    <sheet name="Assumptions" sheetId="2" state="visible" r:id="rId4"/>
    <sheet name="Historical Actuals" sheetId="3" state="visible" r:id="rId5"/>
    <sheet name="Physical Business" sheetId="4" state="visible" r:id="rId6"/>
    <sheet name="AI Cohorts" sheetId="5" state="visible" r:id="rId7"/>
    <sheet name="Growth Extensions" sheetId="6" state="visible" r:id="rId8"/>
    <sheet name="Team Blueprint" sheetId="7" state="visible" r:id="rId9"/>
    <sheet name="Team &amp; Opex" sheetId="8" state="visible" r:id="rId10"/>
    <sheet name="P&amp;L 36 Months" sheetId="9" state="visible" r:id="rId11"/>
    <sheet name="Use of Proceeds" sheetId="10" state="visible" r:id="rId12"/>
    <sheet name="Capital Gates" sheetId="11" state="visible" r:id="rId13"/>
    <sheet name="Cash &amp; Funding" sheetId="12" state="visible" r:id="rId14"/>
    <sheet name="Scenarios" sheetId="13" state="visible" r:id="rId15"/>
    <sheet name="Accelerated Case" sheetId="14" state="visible" r:id="rId16"/>
    <sheet name="Commercial Funnel" sheetId="15" state="visible" r:id="rId17"/>
    <sheet name="Checks &amp; Sources" sheetId="16" state="visible" r:id="rId18"/>
  </sheets>
  <definedNames>
    <definedName function="false" hidden="false" localSheetId="13" name="_xlnm.Print_Area" vbProcedure="false">'Accelerated Case'!$A$1:$Y$42</definedName>
    <definedName function="false" hidden="false" localSheetId="1" name="_xlnm.Print_Area" vbProcedure="false">Assumptions!$A$1:$H$94</definedName>
    <definedName function="false" hidden="true" localSheetId="1" name="_xlnm._FilterDatabase" vbProcedure="false">Assumptions!$A$8:$H$25</definedName>
    <definedName function="false" hidden="false" localSheetId="10" name="_xlnm.Print_Area" vbProcedure="false">'Capital Gates'!$A$1:$M$18</definedName>
    <definedName function="false" hidden="false" localSheetId="15" name="_xlnm.Print_Area" vbProcedure="false">'Checks &amp; Sources'!$A$1:$H$33</definedName>
    <definedName function="false" hidden="false" localSheetId="14" name="_xlnm.Print_Area" vbProcedure="false">'Commercial Funnel'!$A$1:$H$24</definedName>
    <definedName function="false" hidden="false" localSheetId="9" name="_xlnm.Print_Area" vbProcedure="false">'Use of Proceeds'!$A$1:$H$21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Marie Amadei</author>
    <author>tc={44AB6966-F056-0985-2F1E-7F5F52CBC54F}</author>
    <author>tc={47B71E53-7F7F-CA39-4E31-A2272C071C17}</author>
    <author>tc={BB3E6F69-6235-9A4F-D06F-E02B86CF3828}</author>
  </authors>
  <commentList>
    <comment ref="C29" authorId="0">
      <text>
        <r>
          <rPr>
            <sz val="10"/>
            <rFont val="Arial"/>
            <family val="2"/>
          </rPr>
          <t xml:space="preserve">Prezzo mensile confermato: €9 IVA inclusa.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</xdr:colOff>
                <xdr:row>2</xdr:row>
                <xdr:rowOff>15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Prezzo annuale standard: €89. L'offerta founding rinnova a questo prezzo.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</xdr:colOff>
                <xdr:row>2</xdr:row>
                <xdr:rowOff>15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Prezzo annuale promozionale/founding del primo anno: €69.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</xdr:colOff>
                <xdr:row>2</xdr:row>
                <xdr:rowOff>15</xdr:rowOff>
              </xdr:to>
            </anchor>
          </commentPr>
        </mc:Choice>
        <mc:Fallback/>
      </mc:AlternateContent>
    </comment>
    <comment ref="C54" authorId="0">
      <text>
        <r>
          <rPr>
            <sz val="10"/>
            <rFont val="Arial"/>
            <family val="2"/>
          </rPr>
          <t xml:space="preserve">Extendi ha indicato preliminarmente un MVP inferiore a €30.000. Il modello mantiene un envelope più prudente per coprire l'intero lavoro di prodotto e delivery, non soltanto il coding del core MVP.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</xdr:colOff>
                <xdr:row>2</xdr:row>
                <xdr:rowOff>15</xdr:rowOff>
              </xdr:to>
            </anchor>
          </commentPr>
        </mc:Choice>
        <mc:Fallback/>
      </mc:AlternateContent>
    </comment>
    <comment ref="C85" authorId="0">
      <text>
        <r>
          <rPr>
            <sz val="10"/>
            <rFont val="Arial"/>
            <family val="2"/>
          </rPr>
          <t xml:space="preserve">Quota del budget Accelerato riservata alla community/customer base, con CAC-obiettivo €15.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</xdr:rowOff>
              </xdr:from>
              <xdr:to>
                <xdr:col>1</xdr:col>
                <xdr:colOff>-7</xdr:colOff>
                <xdr:row>7</xdr:row>
                <xdr:rowOff>10</xdr:rowOff>
              </xdr:to>
            </anchor>
          </commentPr>
        </mc:Choice>
        <mc:Fallback/>
      </mc:AlternateContent>
    </comment>
    <comment ref="C86" authorId="0">
      <text>
        <r>
          <rPr>
            <sz val="10"/>
            <rFont val="Arial"/>
            <family val="2"/>
          </rPr>
          <t xml:space="preserve">Prima quota broad: CAC iniziale prudente €28.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</xdr:rowOff>
              </xdr:from>
              <xdr:to>
                <xdr:col>1</xdr:col>
                <xdr:colOff>-7</xdr:colOff>
                <xdr:row>8</xdr:row>
                <xdr:rowOff>17</xdr:rowOff>
              </xdr:to>
            </anchor>
          </commentPr>
        </mc:Choice>
        <mc:Fallback/>
      </mc:AlternateContent>
    </comment>
    <comment ref="C87" authorId="0">
      <text>
        <r>
          <rPr>
            <sz val="10"/>
            <rFont val="Arial"/>
            <family val="2"/>
          </rPr>
          <t xml:space="preserve">Seconda quota broad: rilasciata solo al superamento dei gate.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23</xdr:rowOff>
              </xdr:from>
              <xdr:to>
                <xdr:col>1</xdr:col>
                <xdr:colOff>-7</xdr:colOff>
                <xdr:row>9</xdr:row>
                <xdr:rowOff>28</xdr:rowOff>
              </xdr:to>
            </anchor>
          </commentPr>
        </mc:Choice>
        <mc:Fallback/>
      </mc:AlternateContent>
    </comment>
    <comment ref="D9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Base assumption agreed in working session: 2% conversion of historical physical customers to AI.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</xdr:colOff>
                <xdr:row>2</xdr:row>
                <xdr:rowOff>15</xdr:rowOff>
              </xdr:to>
            </anchor>
          </commentPr>
        </mc:Choice>
        <mc:Fallback/>
      </mc:AlternateContent>
    </comment>
    <comment ref="D10" authorId="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Base assumption agreed: 10% attach from new physical purchasers to AI support.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</xdr:colOff>
                <xdr:row>2</xdr:row>
                <xdr:rowOff>15</xdr:rowOff>
              </xdr:to>
            </anchor>
          </commentPr>
        </mc:Choice>
        <mc:Fallback/>
      </mc:AlternateContent>
    </comment>
    <comment ref="D11" authorId="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Confirmed commercial mix: 30% annual, 70% monthly.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-7</xdr:colOff>
                <xdr:row>2</xdr:row>
                <xdr:rowOff>15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tc={4E436DD5-5BBB-45A9-6DC0-B65CCE8655D6}</author>
  </authors>
  <commentList>
    <comment ref="B6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ANALISI ORDINI TP (1).xlsx, sheet ‘Incassato e speso giornaliero’. Values normalized in prior analysis.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38</xdr:colOff>
                <xdr:row>2</xdr:row>
                <xdr:rowOff>15</xdr:rowOff>
              </xdr:to>
            </anchor>
          </commentPr>
        </mc:Choice>
        <mc:Fallback/>
      </mc:AlternateContent>
    </comment>
  </commentList>
</comments>
</file>

<file path=xl/comments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tc={57B46141-EB1E-B553-61DC-9FB2475C39FF}</author>
  </authors>
  <commentList>
    <comment ref="E14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All-in recurring structure from M19: €13,000/month, excluding media, the completed external MVP build and new-workbook launch investment.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</xdr:colOff>
                <xdr:row>2</xdr:row>
                <xdr:rowOff>15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<sst xmlns="http://schemas.openxmlformats.org/spreadsheetml/2006/main" count="1758" uniqueCount="820">
  <si>
    <t xml:space="preserve">TUPENSACI | Business Plan 360° v3.0</t>
  </si>
  <si>
    <t xml:space="preserve">Base case | €9 / €89 / €69 | 7-day guided trial | Acceleration only after observed gates</t>
  </si>
  <si>
    <t xml:space="preserve">THREE-YEAR ECONOMIC VIEW</t>
  </si>
  <si>
    <t xml:space="preserve">ROUND &amp; DEPLOYMENT</t>
  </si>
  <si>
    <t xml:space="preserve">Metric</t>
  </si>
  <si>
    <t xml:space="preserve">Year 1</t>
  </si>
  <si>
    <t xml:space="preserve">Year 2</t>
  </si>
  <si>
    <t xml:space="preserve">Year 3</t>
  </si>
  <si>
    <t xml:space="preserve">v3.0 plan</t>
  </si>
  <si>
    <t xml:space="preserve">Physical + extensions revenue</t>
  </si>
  <si>
    <t xml:space="preserve">Round committed</t>
  </si>
  <si>
    <t xml:space="preserve">AI revenue</t>
  </si>
  <si>
    <t xml:space="preserve">Start tranche — M1</t>
  </si>
  <si>
    <t xml:space="preserve">Total revenue</t>
  </si>
  <si>
    <t xml:space="preserve">Post-M3 tranche</t>
  </si>
  <si>
    <t xml:space="preserve">Gross profit</t>
  </si>
  <si>
    <t xml:space="preserve">Post-M6 tranche</t>
  </si>
  <si>
    <t xml:space="preserve">Operating EBITDA before one-time build</t>
  </si>
  <si>
    <t xml:space="preserve">Ring-fenced reserve</t>
  </si>
  <si>
    <t xml:space="preserve">Cash operating result</t>
  </si>
  <si>
    <t xml:space="preserve">M12 decision</t>
  </si>
  <si>
    <t xml:space="preserve">Scale / correct / stop</t>
  </si>
  <si>
    <t xml:space="preserve">Verdict</t>
  </si>
  <si>
    <t xml:space="preserve">OPERATING KPIs &amp; PROOF PLAN</t>
  </si>
  <si>
    <t xml:space="preserve">KPI</t>
  </si>
  <si>
    <t xml:space="preserve">1. Relaunch Diario, Crea and L’Arte with one accountable growth owner and specialist agency.</t>
  </si>
  <si>
    <t xml:space="preserve">Physical orders</t>
  </si>
  <si>
    <t xml:space="preserve">2. Keep the integrated Base prudent: ≈2,000 active AI users at M12 and ≈4,000 at M24.</t>
  </si>
  <si>
    <t xml:space="preserve">New physical buyers</t>
  </si>
  <si>
    <t xml:space="preserve">3. Launch at €9/month, €89/year and €69 founding for the first year; founding renews at €89.</t>
  </si>
  <si>
    <t xml:space="preserve">AI users acquired</t>
  </si>
  <si>
    <t xml:space="preserve">4. Use a guided 7-day no-card trial; no permanent free tier.</t>
  </si>
  <si>
    <t xml:space="preserve">AI active users at year end</t>
  </si>
  <si>
    <t xml:space="preserve">5. Accelerate only after observed CAC ≤€20, churn ≤6%, acceptable safety and real return usage.</t>
  </si>
  <si>
    <t xml:space="preserve">AI ARR at year end</t>
  </si>
  <si>
    <t xml:space="preserve">6. In the gated case, target ≈3,200 active users at M12 and ≈4,700–5,000 at M24.</t>
  </si>
  <si>
    <t xml:space="preserve">Physical → AI attach</t>
  </si>
  <si>
    <t xml:space="preserve">7. Collect the €300k round in full; authorize €90k / €80k / €115k and hold €15k in reserve.</t>
  </si>
  <si>
    <t xml:space="preserve">Effective monthly churn</t>
  </si>
  <si>
    <t xml:space="preserve">8. Keep one new workbook per year and early B2B pilots inside the ecosystem thesis.</t>
  </si>
  <si>
    <t xml:space="preserve">Year</t>
  </si>
  <si>
    <t xml:space="preserve">Physical</t>
  </si>
  <si>
    <t xml:space="preserve">AI</t>
  </si>
  <si>
    <t xml:space="preserve">EBITDA</t>
  </si>
  <si>
    <t xml:space="preserve">Ending cash</t>
  </si>
  <si>
    <t xml:space="preserve">Y1</t>
  </si>
  <si>
    <t xml:space="preserve">Y2</t>
  </si>
  <si>
    <t xml:space="preserve">Y3</t>
  </si>
  <si>
    <t xml:space="preserve">TUPENSACI | Assumptions v3.0</t>
  </si>
  <si>
    <t xml:space="preserve">Base prudente con pricing €9/€89, offerta founding €69 e prova guidata di 7 giorni. Lo scenario Accelerato è separato e si attiva soltanto dopo evidenza su CAC, retention e qualità del prodotto.</t>
  </si>
  <si>
    <t xml:space="preserve">MODEL CONTROL</t>
  </si>
  <si>
    <t xml:space="preserve">BRANCH CONTROLS</t>
  </si>
  <si>
    <t xml:space="preserve">Scenario selected</t>
  </si>
  <si>
    <t xml:space="preserve">Base</t>
  </si>
  <si>
    <t xml:space="preserve">AI paid branch</t>
  </si>
  <si>
    <t xml:space="preserve">Test</t>
  </si>
  <si>
    <t xml:space="preserve">Growth extensions</t>
  </si>
  <si>
    <t xml:space="preserve">On</t>
  </si>
  <si>
    <t xml:space="preserve">SCENARIO DRIVERS</t>
  </si>
  <si>
    <t xml:space="preserve">Driver</t>
  </si>
  <si>
    <t xml:space="preserve">Unit</t>
  </si>
  <si>
    <t xml:space="preserve">Downside</t>
  </si>
  <si>
    <t xml:space="preserve">Upside</t>
  </si>
  <si>
    <t xml:space="preserve">Selected</t>
  </si>
  <si>
    <t xml:space="preserve">Rationale / source</t>
  </si>
  <si>
    <t xml:space="preserve">Status</t>
  </si>
  <si>
    <t xml:space="preserve">Historical customer → AI conversion</t>
  </si>
  <si>
    <t xml:space="preserve">%</t>
  </si>
  <si>
    <t xml:space="preserve">Conservative reactivation of ~21k historical contacts</t>
  </si>
  <si>
    <t xml:space="preserve">Model assumption</t>
  </si>
  <si>
    <t xml:space="preserve">New physical buyer → AI attach</t>
  </si>
  <si>
    <t xml:space="preserve">Confirmed base hypothesis: AI supports the purchased workbook</t>
  </si>
  <si>
    <t xml:space="preserve">Confirmed base</t>
  </si>
  <si>
    <t xml:space="preserve">Annual payment share</t>
  </si>
  <si>
    <t xml:space="preserve">Confirmed mix: 30% annual / 70% monthly</t>
  </si>
  <si>
    <t xml:space="preserve">Monthly AI churn</t>
  </si>
  <si>
    <t xml:space="preserve">Base from reconciled AI model; 5% is target</t>
  </si>
  <si>
    <t xml:space="preserve">Annual AI renewal rate</t>
  </si>
  <si>
    <t xml:space="preserve">Separate assumption for annual cohorts after 12 months</t>
  </si>
  <si>
    <t xml:space="preserve">To validate</t>
  </si>
  <si>
    <t xml:space="preserve">Physical repeat / cross-sell after 12m</t>
  </si>
  <si>
    <t xml:space="preserve">Historical repeat rate since 2023: 8.93%; base rounded to 10%</t>
  </si>
  <si>
    <t xml:space="preserve">Physical paid CAC per order</t>
  </si>
  <si>
    <t xml:space="preserve">€</t>
  </si>
  <si>
    <t xml:space="preserve">Base target near 2023 ADV/order (€9.67), with execution buffer</t>
  </si>
  <si>
    <t xml:space="preserve">Core recovery gate</t>
  </si>
  <si>
    <t xml:space="preserve">Direct AI blended CAC — Test</t>
  </si>
  <si>
    <t xml:space="preserve">80% paid at €28 in base ⇒ blended CAC €22.40</t>
  </si>
  <si>
    <t xml:space="preserve">Working target</t>
  </si>
  <si>
    <t xml:space="preserve">Organic physical orders in M1</t>
  </si>
  <si>
    <t xml:space="preserve">orders</t>
  </si>
  <si>
    <t xml:space="preserve">Owned demand before paid relaunch</t>
  </si>
  <si>
    <t xml:space="preserve">Monthly physical growth before scale</t>
  </si>
  <si>
    <t xml:space="preserve">M1–M6, before commercial proof</t>
  </si>
  <si>
    <t xml:space="preserve">Monthly physical growth after scale</t>
  </si>
  <si>
    <t xml:space="preserve">M7 onward, only after recovery gate</t>
  </si>
  <si>
    <t xml:space="preserve">Beta direct AI users / month</t>
  </si>
  <si>
    <t xml:space="preserve">users</t>
  </si>
  <si>
    <t xml:space="preserve">Owned beta users from launch month through M6</t>
  </si>
  <si>
    <t xml:space="preserve">Direct AI media budget — Scale M7–M18</t>
  </si>
  <si>
    <t xml:space="preserve">€/month</t>
  </si>
  <si>
    <t xml:space="preserve">Scale branch only after beta evidence</t>
  </si>
  <si>
    <t xml:space="preserve">Direct AI media budget — Scale M19–M36</t>
  </si>
  <si>
    <t xml:space="preserve">Funded by follow-on capital and/or reinvested contribution</t>
  </si>
  <si>
    <t xml:space="preserve">Physical media budget M1–M3</t>
  </si>
  <si>
    <t xml:space="preserve">Immediate relaunch of the three existing workbooks</t>
  </si>
  <si>
    <t xml:space="preserve">Physical media budget M4–M6</t>
  </si>
  <si>
    <t xml:space="preserve">Increase only if M3 recovery indicators hold</t>
  </si>
  <si>
    <t xml:space="preserve">Physical media budget M7–M12</t>
  </si>
  <si>
    <t xml:space="preserve">Calibrated to recover approximately the 2023 order volume in Year 1</t>
  </si>
  <si>
    <t xml:space="preserve">PRICING, UNIT ECONOMICS &amp; OPERATING INPUTS</t>
  </si>
  <si>
    <t xml:space="preserve">Input</t>
  </si>
  <si>
    <t xml:space="preserve">Value</t>
  </si>
  <si>
    <t xml:space="preserve">Formula / source</t>
  </si>
  <si>
    <t xml:space="preserve">AI monthly price</t>
  </si>
  <si>
    <t xml:space="preserve">Management confirmed — August 2026</t>
  </si>
  <si>
    <t xml:space="preserve">Confirmed</t>
  </si>
  <si>
    <t xml:space="preserve">AI annual standard price</t>
  </si>
  <si>
    <t xml:space="preserve">€/year</t>
  </si>
  <si>
    <t xml:space="preserve">Management confirmed — renewals at standard price</t>
  </si>
  <si>
    <t xml:space="preserve">AI annual founding / community price — first year</t>
  </si>
  <si>
    <t xml:space="preserve">Launch offer for community, historical and workbook-linked users; renews at €89</t>
  </si>
  <si>
    <t xml:space="preserve">VAT</t>
  </si>
  <si>
    <t xml:space="preserve">Italian consumer pricing assumption</t>
  </si>
  <si>
    <t xml:space="preserve">Payment/platform fees</t>
  </si>
  <si>
    <t xml:space="preserve">% revenue net of VAT</t>
  </si>
  <si>
    <t xml:space="preserve">Reconciled AI economic model</t>
  </si>
  <si>
    <t xml:space="preserve">API cost per active user</t>
  </si>
  <si>
    <t xml:space="preserve">Confirmed model</t>
  </si>
  <si>
    <t xml:space="preserve">Cloud cost per active user</t>
  </si>
  <si>
    <t xml:space="preserve">Annual refund reserve</t>
  </si>
  <si>
    <t xml:space="preserve">% gross annual price</t>
  </si>
  <si>
    <t xml:space="preserve">Monthly AI contribution per active user — €9</t>
  </si>
  <si>
    <t xml:space="preserve">Net of VAT, fees, API and cloud</t>
  </si>
  <si>
    <t xml:space="preserve">Calculated</t>
  </si>
  <si>
    <t xml:space="preserve">Annual AI contribution — €89</t>
  </si>
  <si>
    <t xml:space="preserve">€/sale</t>
  </si>
  <si>
    <t xml:space="preserve">Net of VAT, fees/refunds and 12m API/cloud</t>
  </si>
  <si>
    <t xml:space="preserve">Annual AI contribution — €69 founding</t>
  </si>
  <si>
    <t xml:space="preserve">Physical net revenue per order</t>
  </si>
  <si>
    <t xml:space="preserve">€/order</t>
  </si>
  <si>
    <t xml:space="preserve">Planning value agreed; retail prices are €32.90 Diario and €34.90 Crea/L'Arte</t>
  </si>
  <si>
    <t xml:space="preserve">Confirmed planning value</t>
  </si>
  <si>
    <t xml:space="preserve">Print + shipping/stock per order</t>
  </si>
  <si>
    <t xml:space="preserve">€5 print + ~€7 shipping/stock</t>
  </si>
  <si>
    <t xml:space="preserve">Historical customer database</t>
  </si>
  <si>
    <t xml:space="preserve">people</t>
  </si>
  <si>
    <t xml:space="preserve">Management estimate</t>
  </si>
  <si>
    <t xml:space="preserve">Historical Diary purchasers</t>
  </si>
  <si>
    <t xml:space="preserve">Physical copies sold historically — all channels</t>
  </si>
  <si>
    <t xml:space="preserve">copies</t>
  </si>
  <si>
    <t xml:space="preserve">Management estimate including ecommerce, Amazon, retail and corporate channels</t>
  </si>
  <si>
    <t xml:space="preserve">Legacy physical fixed costs</t>
  </si>
  <si>
    <t xml:space="preserve">Excludes founder compensation</t>
  </si>
  <si>
    <t xml:space="preserve">Founder compensation</t>
  </si>
  <si>
    <t xml:space="preserve">Editable; default requested = zero</t>
  </si>
  <si>
    <t xml:space="preserve">Confirmed default</t>
  </si>
  <si>
    <t xml:space="preserve">Round under evaluation</t>
  </si>
  <si>
    <t xml:space="preserve">Current investor pitch</t>
  </si>
  <si>
    <t xml:space="preserve">Contingency reserve</t>
  </si>
  <si>
    <t xml:space="preserve">Ring-fenced reserve inside the €300k round</t>
  </si>
  <si>
    <t xml:space="preserve">Beta starts</t>
  </si>
  <si>
    <t xml:space="preserve">month</t>
  </si>
  <si>
    <t xml:space="preserve">Closed beta opens as soon as the core loop is functional</t>
  </si>
  <si>
    <t xml:space="preserve">Decision gate</t>
  </si>
  <si>
    <t xml:space="preserve">Commercial + beta capital release gate</t>
  </si>
  <si>
    <t xml:space="preserve">Paid scale starts</t>
  </si>
  <si>
    <t xml:space="preserve">Direct paid AI tests start only after M6 gate</t>
  </si>
  <si>
    <t xml:space="preserve">Legacy reactivation duration</t>
  </si>
  <si>
    <t xml:space="preserve">months</t>
  </si>
  <si>
    <t xml:space="preserve">M4–M9</t>
  </si>
  <si>
    <t xml:space="preserve">Physical repeat lag</t>
  </si>
  <si>
    <t xml:space="preserve">Simple cohort convention</t>
  </si>
  <si>
    <t xml:space="preserve">External product &amp; technology build</t>
  </si>
  <si>
    <t xml:space="preserve">€ total</t>
  </si>
  <si>
    <t xml:space="preserve">Prudent envelope: core MVP, discovery, UX, integrations, QA and delivery buffer</t>
  </si>
  <si>
    <t xml:space="preserve">External MVP build duration</t>
  </si>
  <si>
    <t xml:space="preserve">M1–M6; beta opens as soon as the core loop works</t>
  </si>
  <si>
    <t xml:space="preserve">Corpus and editorial architecture</t>
  </si>
  <si>
    <t xml:space="preserve">Content preparation and prompt/QA system; partly delivered by the internal team</t>
  </si>
  <si>
    <t xml:space="preserve">Corpus/community build duration</t>
  </si>
  <si>
    <t xml:space="preserve">M1–M6</t>
  </si>
  <si>
    <t xml:space="preserve">Privacy, safety &amp; legal initial setup</t>
  </si>
  <si>
    <t xml:space="preserve">Initial privacy, safety, legal and governance work</t>
  </si>
  <si>
    <t xml:space="preserve">Privacy/safety/legal duration</t>
  </si>
  <si>
    <t xml:space="preserve">Full incremental operating structure — post beta</t>
  </si>
  <si>
    <t xml:space="preserve">€11,750 incremental + €1,250 existing = €13,000/month</t>
  </si>
  <si>
    <t xml:space="preserve">Proposed lean model</t>
  </si>
  <si>
    <t xml:space="preserve">Team ramp M1–M3</t>
  </si>
  <si>
    <t xml:space="preserve">% full structure</t>
  </si>
  <si>
    <t xml:space="preserve">€8,750 incremental + €1,250 existing = €10,000/month</t>
  </si>
  <si>
    <t xml:space="preserve">Team ramp M4–M12</t>
  </si>
  <si>
    <t xml:space="preserve">Full commercial + post-beta structure = €13,000/month</t>
  </si>
  <si>
    <t xml:space="preserve">Team ramp M13–M36</t>
  </si>
  <si>
    <t xml:space="preserve">Hold at €13,000/month until workload proves a hiring need</t>
  </si>
  <si>
    <t xml:space="preserve">AI launch media budget M7–M18</t>
  </si>
  <si>
    <t xml:space="preserve">Base paid test M7–M18; target ≈2,000 active users at M12</t>
  </si>
  <si>
    <t xml:space="preserve">Working assumption</t>
  </si>
  <si>
    <t xml:space="preserve">AI growth media budget M19–M36</t>
  </si>
  <si>
    <t xml:space="preserve">Base growth budget M19–M36; target ≈4,000 active users at M24</t>
  </si>
  <si>
    <t xml:space="preserve">Scale-gate blended CAC</t>
  </si>
  <si>
    <t xml:space="preserve">Required observed blended CAC before broad scale</t>
  </si>
  <si>
    <t xml:space="preserve">Gate target</t>
  </si>
  <si>
    <t xml:space="preserve">Scale-gate monthly churn</t>
  </si>
  <si>
    <t xml:space="preserve">Required observed monthly churn before broad scale</t>
  </si>
  <si>
    <t xml:space="preserve">Effective direct AI CAC</t>
  </si>
  <si>
    <t xml:space="preserve">Test uses selected scenario; Scale uses gate target</t>
  </si>
  <si>
    <t xml:space="preserve">Effective monthly AI churn</t>
  </si>
  <si>
    <t xml:space="preserve">Current branch LTV / CAC</t>
  </si>
  <si>
    <t xml:space="preserve">x</t>
  </si>
  <si>
    <t xml:space="preserve">Monthly contribution / churn / effective CAC</t>
  </si>
  <si>
    <t xml:space="preserve">New workbook #1 launch month</t>
  </si>
  <si>
    <t xml:space="preserve">Q4 Year 1</t>
  </si>
  <si>
    <t xml:space="preserve">New workbook #2 launch month</t>
  </si>
  <si>
    <t xml:space="preserve">Q4 Year 2</t>
  </si>
  <si>
    <t xml:space="preserve">New workbook #3 launch month</t>
  </si>
  <si>
    <t xml:space="preserve">Q4 Year 3</t>
  </si>
  <si>
    <t xml:space="preserve">Launch investment per new workbook</t>
  </si>
  <si>
    <t xml:space="preserve">Editorial, design, pre-production and launch assets</t>
  </si>
  <si>
    <t xml:space="preserve">Build duration per new workbook</t>
  </si>
  <si>
    <t xml:space="preserve">Investment spread across the six months before launch</t>
  </si>
  <si>
    <t xml:space="preserve">Organic orders per active new workbook / month</t>
  </si>
  <si>
    <t xml:space="preserve">Planning hypothesis; no incremental paid media</t>
  </si>
  <si>
    <t xml:space="preserve">B2B pilot start</t>
  </si>
  <si>
    <t xml:space="preserve">First corporate pilots before Year 2</t>
  </si>
  <si>
    <t xml:space="preserve">B2B monthly revenue — Y1</t>
  </si>
  <si>
    <t xml:space="preserve">Four pilot months = €10k</t>
  </si>
  <si>
    <t xml:space="preserve">B2B monthly revenue — Y2</t>
  </si>
  <si>
    <t xml:space="preserve">Annual planning value ≈ €20k</t>
  </si>
  <si>
    <t xml:space="preserve">B2B monthly revenue — Y3</t>
  </si>
  <si>
    <t xml:space="preserve">Annual planning value = €30k</t>
  </si>
  <si>
    <t xml:space="preserve">B2B gross margin</t>
  </si>
  <si>
    <t xml:space="preserve">Includes customization, facilitation and delivery costs</t>
  </si>
  <si>
    <t xml:space="preserve">Physical media budget M13–M36</t>
  </si>
  <si>
    <t xml:space="preserve">Maintained only if M12 KPI gate is achieved</t>
  </si>
  <si>
    <t xml:space="preserve">Scale assumption</t>
  </si>
  <si>
    <t xml:space="preserve">Historical customers — all channels</t>
  </si>
  <si>
    <t xml:space="preserve">Management estimate including corporate and retail buyers</t>
  </si>
  <si>
    <t xml:space="preserve">Confirmed KPI</t>
  </si>
  <si>
    <t xml:space="preserve">Guided free trial</t>
  </si>
  <si>
    <t xml:space="preserve">days</t>
  </si>
  <si>
    <t xml:space="preserve">No card required; no permanent free tier</t>
  </si>
  <si>
    <t xml:space="preserve">Confirmed launch choice</t>
  </si>
  <si>
    <t xml:space="preserve">Accelerated warm media M7–M12</t>
  </si>
  <si>
    <t xml:space="preserve">Community and customer retargeting</t>
  </si>
  <si>
    <t xml:space="preserve">Scale envelope</t>
  </si>
  <si>
    <t xml:space="preserve">Accelerated broad media M7–M12</t>
  </si>
  <si>
    <t xml:space="preserve">Initial broad test; conservative CAC</t>
  </si>
  <si>
    <t xml:space="preserve">Accelerated broad media M13–M18</t>
  </si>
  <si>
    <t xml:space="preserve">Released only after M12 evidence</t>
  </si>
  <si>
    <t xml:space="preserve">Accelerated broad media M19–M36</t>
  </si>
  <si>
    <t xml:space="preserve">Reinvested contribution and/or follow-on capital</t>
  </si>
  <si>
    <t xml:space="preserve">Conditional scale</t>
  </si>
  <si>
    <t xml:space="preserve">Warm/community paid CAC</t>
  </si>
  <si>
    <t xml:space="preserve">Expected advantage from the existing relationship</t>
  </si>
  <si>
    <t xml:space="preserve">Broad CAC — launch</t>
  </si>
  <si>
    <t xml:space="preserve">Cautious initial broad assumption</t>
  </si>
  <si>
    <t xml:space="preserve">Broad CAC — scale</t>
  </si>
  <si>
    <t xml:space="preserve">Gate target after creative and funnel learning</t>
  </si>
  <si>
    <t xml:space="preserve">Warm trial-to-paid conversion</t>
  </si>
  <si>
    <t xml:space="preserve">Operational funnel assumption; CAC remains measured per paid user</t>
  </si>
  <si>
    <t xml:space="preserve">Broad trial-to-paid conversion</t>
  </si>
  <si>
    <t xml:space="preserve">Inactive account data retention</t>
  </si>
  <si>
    <t xml:space="preserve">Only with the user consent and documented deletion rules</t>
  </si>
  <si>
    <t xml:space="preserve">Product rule</t>
  </si>
  <si>
    <t xml:space="preserve">TUPENSACI | Historical Actuals</t>
  </si>
  <si>
    <t xml:space="preserve">Normalized from ANALISI ORDINI TP — sheet ‘Incassato e speso giornaliero’. 2026 is YTD through 17 June.</t>
  </si>
  <si>
    <t xml:space="preserve">ACTUAL PERFORMANCE</t>
  </si>
  <si>
    <t xml:space="preserve">Period</t>
  </si>
  <si>
    <t xml:space="preserve">Revenue</t>
  </si>
  <si>
    <t xml:space="preserve">ADV</t>
  </si>
  <si>
    <t xml:space="preserve">Print + fulfillment</t>
  </si>
  <si>
    <t xml:space="preserve">Fixed costs</t>
  </si>
  <si>
    <t xml:space="preserve">Operating result</t>
  </si>
  <si>
    <t xml:space="preserve">Fulfilled units</t>
  </si>
  <si>
    <t xml:space="preserve">MER</t>
  </si>
  <si>
    <t xml:space="preserve">ADV / unit</t>
  </si>
  <si>
    <t xml:space="preserve">Note</t>
  </si>
  <si>
    <t xml:space="preserve">2023</t>
  </si>
  <si>
    <t xml:space="preserve">Full year</t>
  </si>
  <si>
    <t xml:space="preserve">2024</t>
  </si>
  <si>
    <t xml:space="preserve">2025</t>
  </si>
  <si>
    <t xml:space="preserve">2026 YTD</t>
  </si>
  <si>
    <t xml:space="preserve">To 17 June</t>
  </si>
  <si>
    <t xml:space="preserve">TUPENSACI | Physical Business</t>
  </si>
  <si>
    <t xml:space="preserve">Relaunch of Diario, Crea and L’Arte from Month 1: owned demand + performance media + 12-month repeat. The Base case targets a recovery toward the best 2023 commercial KPIs.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</si>
  <si>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</si>
  <si>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</si>
  <si>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</si>
  <si>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</si>
  <si>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</si>
  <si>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</si>
  <si>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</si>
  <si>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</si>
  <si>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</si>
  <si>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</si>
  <si>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</si>
  <si>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</si>
  <si>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</si>
  <si>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</si>
  <si>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</si>
  <si>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</si>
  <si>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</si>
  <si>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</si>
  <si>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</si>
  <si>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</si>
  <si>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</si>
  <si>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</si>
  <si>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</si>
  <si>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</si>
  <si>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</si>
  <si>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</si>
  <si>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</si>
  <si>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</si>
  <si>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</si>
  <si>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</si>
  <si>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</si>
  <si>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</si>
  <si>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</si>
  <si>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</si>
  <si>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</si>
  <si>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</si>
  <si>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</si>
  <si>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Stage</t>
  </si>
  <si>
    <t xml:space="preserve">Relaunch</t>
  </si>
  <si>
    <t xml:space="preserve">Beta build</t>
  </si>
  <si>
    <t xml:space="preserve">Gate M6</t>
  </si>
  <si>
    <t xml:space="preserve">AI launch</t>
  </si>
  <si>
    <t xml:space="preserve">Scale test</t>
  </si>
  <si>
    <t xml:space="preserve">Scale</t>
  </si>
  <si>
    <t xml:space="preserve">PHYSICAL CUSTOMER &amp; ORDER ENGINE</t>
  </si>
  <si>
    <t xml:space="preserve">Organic / owned new orders</t>
  </si>
  <si>
    <t xml:space="preserve">Paid media budget</t>
  </si>
  <si>
    <t xml:space="preserve">Paid-acquired new orders</t>
  </si>
  <si>
    <t xml:space="preserve">Repeat / cross-sell orders (12m lag)</t>
  </si>
  <si>
    <t xml:space="preserve">Total physical orders</t>
  </si>
  <si>
    <t xml:space="preserve">New unique physical buyers</t>
  </si>
  <si>
    <t xml:space="preserve">Cumulative addressable physical database</t>
  </si>
  <si>
    <t xml:space="preserve">Net physical revenue</t>
  </si>
  <si>
    <t xml:space="preserve">Print + fulfillment cost</t>
  </si>
  <si>
    <t xml:space="preserve">Physical acquisition cost</t>
  </si>
  <si>
    <t xml:space="preserve">Physical contribution after acquisition</t>
  </si>
  <si>
    <t xml:space="preserve">AI attached users from physical buyers</t>
  </si>
  <si>
    <t xml:space="preserve">TUPENSACI | AI Cohorts — Base Case v3.0</t>
  </si>
  <si>
    <t xml:space="preserve">Il Base mantiene i volumi di acquisizione della v2.1 e cambia soltanto pricing e margine: €9/mese, €89/anno, €69 founding per community/clienti nel primo anno. La prova guidata dura 7 giorni e non è un tier gratuito permanente.</t>
  </si>
  <si>
    <t xml:space="preserve">AI ACQUISITION &amp; COHORT ROLL-FORWARD</t>
  </si>
  <si>
    <t xml:space="preserve">Historical database conversions</t>
  </si>
  <si>
    <t xml:space="preserve">Physical buyer AI attach conversions</t>
  </si>
  <si>
    <t xml:space="preserve">Owned beta/direct users</t>
  </si>
  <si>
    <t xml:space="preserve">Direct AI media budget</t>
  </si>
  <si>
    <t xml:space="preserve">Direct AI paid users</t>
  </si>
  <si>
    <t xml:space="preserve">Total new AI users</t>
  </si>
  <si>
    <t xml:space="preserve">Founding annual users (€69)</t>
  </si>
  <si>
    <t xml:space="preserve">Standard annual users (€89)</t>
  </si>
  <si>
    <t xml:space="preserve">New monthly users (€9)</t>
  </si>
  <si>
    <t xml:space="preserve">Annual renewals (€89)</t>
  </si>
  <si>
    <t xml:space="preserve">Opening active monthly users</t>
  </si>
  <si>
    <t xml:space="preserve">Monthly churned users</t>
  </si>
  <si>
    <t xml:space="preserve">Closing active monthly users</t>
  </si>
  <si>
    <t xml:space="preserve">Active annual users</t>
  </si>
  <si>
    <t xml:space="preserve">Total active AI users</t>
  </si>
  <si>
    <t xml:space="preserve">Monthly subscription revenue</t>
  </si>
  <si>
    <t xml:space="preserve">Founding annual bookings</t>
  </si>
  <si>
    <t xml:space="preserve">Standard annual bookings</t>
  </si>
  <si>
    <t xml:space="preserve">Annual renewal bookings</t>
  </si>
  <si>
    <t xml:space="preserve">Total AI revenue</t>
  </si>
  <si>
    <t xml:space="preserve">Monthly contribution</t>
  </si>
  <si>
    <t xml:space="preserve">Discounted annual contribution</t>
  </si>
  <si>
    <t xml:space="preserve">Standard + renewal annual contribution</t>
  </si>
  <si>
    <t xml:space="preserve">AI contribution before acquisition</t>
  </si>
  <si>
    <t xml:space="preserve">Direct AI acquisition spend</t>
  </si>
  <si>
    <t xml:space="preserve">AI contribution after acquisition</t>
  </si>
  <si>
    <t xml:space="preserve">AI recurring revenue run-rate / month</t>
  </si>
  <si>
    <t xml:space="preserve">AI annualized revenue run-rate</t>
  </si>
  <si>
    <t xml:space="preserve">Cumulative AI customers acquired</t>
  </si>
  <si>
    <t xml:space="preserve">TUPENSACI | Growth Extensions</t>
  </si>
  <si>
    <t xml:space="preserve">Operating case: relaunch the three existing workbooks and introduce one new workbook every year, plus early B2B pilots. Toggle On/Off in Assumptions!E6.</t>
  </si>
  <si>
    <t xml:space="preserve">NEW WORKBOOK + B2B OPERATING CASE</t>
  </si>
  <si>
    <t xml:space="preserve">New workbook organic orders</t>
  </si>
  <si>
    <t xml:space="preserve">New workbook net revenue</t>
  </si>
  <si>
    <t xml:space="preserve">New workbook print + fulfillment</t>
  </si>
  <si>
    <t xml:space="preserve">New workbook contribution</t>
  </si>
  <si>
    <t xml:space="preserve">B2B pilot revenue</t>
  </si>
  <si>
    <t xml:space="preserve">B2B direct delivery cost</t>
  </si>
  <si>
    <t xml:space="preserve">B2B gross profit</t>
  </si>
  <si>
    <t xml:space="preserve">New workbook launch investment</t>
  </si>
  <si>
    <t xml:space="preserve">Total extension contribution</t>
  </si>
  <si>
    <t xml:space="preserve">TUPENSACI | Team &amp; Agency Blueprint v3.0</t>
  </si>
  <si>
    <t xml:space="preserve">Il round assegna €80k al team e €35k all'agenzia; il conto economico mostra il costo operativo lordo, che può essere sostenuto anche dal margine generato dal business fisico.</t>
  </si>
  <si>
    <t xml:space="preserve">LEAN RECURRING TEAM — MONTHLY COST BY PHASE</t>
  </si>
  <si>
    <t xml:space="preserve">Function</t>
  </si>
  <si>
    <t xml:space="preserve">M1–M3</t>
  </si>
  <si>
    <t xml:space="preserve">M4–M6</t>
  </si>
  <si>
    <t xml:space="preserve">M7–M12</t>
  </si>
  <si>
    <t xml:space="preserve">M13+</t>
  </si>
  <si>
    <t xml:space="preserve">Delivery model</t>
  </si>
  <si>
    <t xml:space="preserve">Scale rule</t>
  </si>
  <si>
    <t xml:space="preserve">Existing physical operations &amp; administration</t>
  </si>
  <si>
    <t xml:space="preserve">Existing cost base</t>
  </si>
  <si>
    <t xml:space="preserve">Keep fixed while fulfillment remains outsourced</t>
  </si>
  <si>
    <t xml:space="preserve">AI product &amp; technical maintenance</t>
  </si>
  <si>
    <t xml:space="preserve">Vendor/fractional retainer after beta</t>
  </si>
  <si>
    <t xml:space="preserve">In-house only after product scale</t>
  </si>
  <si>
    <t xml:space="preserve">Growth leadership + performance agency</t>
  </si>
  <si>
    <t xml:space="preserve">Fractional owner + specialist agency</t>
  </si>
  <si>
    <t xml:space="preserve">Replace placeholders with signed contracts; one owner remains accountable</t>
  </si>
  <si>
    <t xml:space="preserve">Content &amp; community</t>
  </si>
  <si>
    <t xml:space="preserve">Creator/editorial contractor</t>
  </si>
  <si>
    <t xml:space="preserve">Scale only if content improves conversion or retention</t>
  </si>
  <si>
    <t xml:space="preserve">Customer care &amp; order operations</t>
  </si>
  <si>
    <t xml:space="preserve">Part-time / outsourced</t>
  </si>
  <si>
    <t xml:space="preserve">Expand above 1,000 physical orders/month</t>
  </si>
  <si>
    <t xml:space="preserve">QA, privacy, safety &amp; legal</t>
  </si>
  <si>
    <t xml:space="preserve">Recurring oversight after initial setup</t>
  </si>
  <si>
    <t xml:space="preserve">No full-time role before enterprise complexity</t>
  </si>
  <si>
    <t xml:space="preserve">Incremental platforms &amp; software</t>
  </si>
  <si>
    <t xml:space="preserve">Lean SaaS stack</t>
  </si>
  <si>
    <t xml:space="preserve">Add tools only against measurable need</t>
  </si>
  <si>
    <t xml:space="preserve">Founder strategic/editorial contribution</t>
  </si>
  <si>
    <t xml:space="preserve">Uncompensated in this model</t>
  </si>
  <si>
    <t xml:space="preserve">Revisit after runway and governance agreement</t>
  </si>
  <si>
    <t xml:space="preserve">TOTAL MONTHLY RECURRING STRUCTURE</t>
  </si>
  <si>
    <t xml:space="preserve">OPERATING PRINCIPLES &amp; GATES</t>
  </si>
  <si>
    <t xml:space="preserve">Principle</t>
  </si>
  <si>
    <t xml:space="preserve">Decision rule</t>
  </si>
  <si>
    <t xml:space="preserve">Why</t>
  </si>
  <si>
    <t xml:space="preserve">Capital allocation is not an opex ceiling</t>
  </si>
  <si>
    <t xml:space="preserve">Round allocation covers the first-year share; operating contribution may be reinvested</t>
  </si>
  <si>
    <t xml:space="preserve">Avoids underfunding campaigns when unit economics are working</t>
  </si>
  <si>
    <t xml:space="preserve">Growth has one accountable owner</t>
  </si>
  <si>
    <t xml:space="preserve">Head of Growth owns ecommerce, CRM, agency economics and conversion</t>
  </si>
  <si>
    <t xml:space="preserve">Avoids delegating the business result entirely to an agency</t>
  </si>
  <si>
    <t xml:space="preserve">Beta as soon as functional</t>
  </si>
  <si>
    <t xml:space="preserve">Open a controlled beta in M4 while the full build continues</t>
  </si>
  <si>
    <t xml:space="preserve">Moves willingness-to-pay and retention learning forward</t>
  </si>
  <si>
    <t xml:space="preserve">Capital remains gated</t>
  </si>
  <si>
    <t xml:space="preserve">Team, media and build budgets expand only after M3 and M6 evidence</t>
  </si>
  <si>
    <t xml:space="preserve">Protects the first €300k round</t>
  </si>
  <si>
    <t xml:space="preserve">Stop is an explicit outcome</t>
  </si>
  <si>
    <t xml:space="preserve">If M12 does not show a credible 2023 recovery and AI traction, do not finance Year 3</t>
  </si>
  <si>
    <t xml:space="preserve">Prevents a weak three-year forecast from becoming a commitment</t>
  </si>
  <si>
    <t xml:space="preserve">TUPENSACI | Team &amp; Opex v3.0</t>
  </si>
  <si>
    <t xml:space="preserve">Il modello mantiene una struttura esecutiva piena da subito. La minore stima tecnologica non riduce il team: libera capitale per prodotto, creatività, campagne e runway. I ricavi operativi possono finanziare spesa ulteriore rispetto all'uso del round.</t>
  </si>
  <si>
    <t xml:space="preserve">RECURRING OPERATING STRUCTURE</t>
  </si>
  <si>
    <t xml:space="preserve">Incremental operating team &amp; platforms</t>
  </si>
  <si>
    <t xml:space="preserve">Recurring opex</t>
  </si>
  <si>
    <t xml:space="preserve">One-time build investment</t>
  </si>
  <si>
    <t xml:space="preserve">Total operating cash costs</t>
  </si>
  <si>
    <t xml:space="preserve">TUPENSACI | Integrated P&amp;L — 36 Months</t>
  </si>
  <si>
    <t xml:space="preserve">Physical products, AI and the optional operating extensions are modeled as one company. EBITDA is before one-time build investment; cash result includes it.</t>
  </si>
  <si>
    <t xml:space="preserve">INTEGRATED PROFIT &amp; LOSS</t>
  </si>
  <si>
    <t xml:space="preserve">Physical + extension revenue</t>
  </si>
  <si>
    <t xml:space="preserve">Physical + extension direct costs</t>
  </si>
  <si>
    <t xml:space="preserve">AI variable delivery costs</t>
  </si>
  <si>
    <t xml:space="preserve">Physical acquisition spend</t>
  </si>
  <si>
    <t xml:space="preserve">Contribution after acquisition</t>
  </si>
  <si>
    <t xml:space="preserve">Recurring operating opex</t>
  </si>
  <si>
    <t xml:space="preserve">Operating EBITDA margin</t>
  </si>
  <si>
    <t xml:space="preserve">MVP / corpus / privacy one-time build</t>
  </si>
  <si>
    <t xml:space="preserve">TUPENSACI | Use of Proceeds — €300k</t>
  </si>
  <si>
    <t xml:space="preserve">Il round viene raccolto integralmente. L'impiego è progressivo e subordinato ai gate; le allocazioni di capitale non sono un tetto all'opex lordo, perché il margine operativo può essere reinvestito.</t>
  </si>
  <si>
    <t xml:space="preserve">CAPITAL ALLOCATION</t>
  </si>
  <si>
    <t xml:space="preserve">Category</t>
  </si>
  <si>
    <t xml:space="preserve">Allocation</t>
  </si>
  <si>
    <t xml:space="preserve">% round</t>
  </si>
  <si>
    <t xml:space="preserve">What it funds</t>
  </si>
  <si>
    <t xml:space="preserve">Timing</t>
  </si>
  <si>
    <t xml:space="preserve">Gate</t>
  </si>
  <si>
    <t xml:space="preserve">P&amp;L treatment</t>
  </si>
  <si>
    <t xml:space="preserve">Product &amp; technology</t>
  </si>
  <si>
    <t xml:space="preserve">MVP, discovery, UX, integrations, corpus/prompt QA</t>
  </si>
  <si>
    <t xml:space="preserve">Functional core loop</t>
  </si>
  <si>
    <t xml:space="preserve">One-time build</t>
  </si>
  <si>
    <t xml:space="preserve">Extendi core MVP indication &lt;€30k; envelope remains prudent</t>
  </si>
  <si>
    <t xml:space="preserve">Team</t>
  </si>
  <si>
    <t xml:space="preserve">Growth ownership, content/community, care, technical oversight</t>
  </si>
  <si>
    <t xml:space="preserve">M1–M12</t>
  </si>
  <si>
    <t xml:space="preserve">Owners and cadence active</t>
  </si>
  <si>
    <t xml:space="preserve">Operating margin may co-finance the gross cost</t>
  </si>
  <si>
    <t xml:space="preserve">Agency &amp; creative</t>
  </si>
  <si>
    <t xml:space="preserve">Performance execution, creative system, landing and production</t>
  </si>
  <si>
    <t xml:space="preserve">Creative and funnel cadence</t>
  </si>
  <si>
    <t xml:space="preserve">Signed scope replaces placeholder</t>
  </si>
  <si>
    <t xml:space="preserve">Paid media</t>
  </si>
  <si>
    <t xml:space="preserve">€25k warm/community + €45k broad</t>
  </si>
  <si>
    <t xml:space="preserve">M7–M18</t>
  </si>
  <si>
    <t xml:space="preserve">CAC and retention gates</t>
  </si>
  <si>
    <t xml:space="preserve">Acquisition spend</t>
  </si>
  <si>
    <t xml:space="preserve">Accelerated envelope; Base remains capped</t>
  </si>
  <si>
    <t xml:space="preserve">Workbook relaunch</t>
  </si>
  <si>
    <t xml:space="preserve">Assets, ecommerce improvements and relaunch execution</t>
  </si>
  <si>
    <t xml:space="preserve">Commercial recovery</t>
  </si>
  <si>
    <t xml:space="preserve">Launch investment</t>
  </si>
  <si>
    <t xml:space="preserve">Physical margin is reinvestable</t>
  </si>
  <si>
    <t xml:space="preserve">Privacy, legal &amp; governance</t>
  </si>
  <si>
    <t xml:space="preserve">Privacy, safety, contracts and governance</t>
  </si>
  <si>
    <t xml:space="preserve">Pre-launch compliance</t>
  </si>
  <si>
    <t xml:space="preserve">One-time setup</t>
  </si>
  <si>
    <t xml:space="preserve">Recurring oversight remains in team opex</t>
  </si>
  <si>
    <t xml:space="preserve">Reserve</t>
  </si>
  <si>
    <t xml:space="preserve">Ring-fenced contingency</t>
  </si>
  <si>
    <t xml:space="preserve">Held</t>
  </si>
  <si>
    <t xml:space="preserve">Board release</t>
  </si>
  <si>
    <t xml:space="preserve">Cash reserve</t>
  </si>
  <si>
    <t xml:space="preserve">Not automatically spent</t>
  </si>
  <si>
    <t xml:space="preserve">TOTAL</t>
  </si>
  <si>
    <t xml:space="preserve">Must equal the €300k round</t>
  </si>
  <si>
    <t xml:space="preserve">DEPLOYMENT TRANCHES</t>
  </si>
  <si>
    <t xml:space="preserve">Phase</t>
  </si>
  <si>
    <t xml:space="preserve">Capital released</t>
  </si>
  <si>
    <t xml:space="preserve">Cumulative</t>
  </si>
  <si>
    <t xml:space="preserve">Capital locked</t>
  </si>
  <si>
    <t xml:space="preserve">Primary objective</t>
  </si>
  <si>
    <t xml:space="preserve">Release evidence</t>
  </si>
  <si>
    <t xml:space="preserve">Decision</t>
  </si>
  <si>
    <t xml:space="preserve">Start</t>
  </si>
  <si>
    <t xml:space="preserve">Relaunch + build start</t>
  </si>
  <si>
    <t xml:space="preserve">Owners appointed; 90-day plan live</t>
  </si>
  <si>
    <t xml:space="preserve">Launch</t>
  </si>
  <si>
    <t xml:space="preserve">Gate M3</t>
  </si>
  <si>
    <t xml:space="preserve">Beta + commercial proof</t>
  </si>
  <si>
    <t xml:space="preserve">Workbook recovery and functional core loop</t>
  </si>
  <si>
    <t xml:space="preserve">Release / correct / stop</t>
  </si>
  <si>
    <t xml:space="preserve">Paid launch and scale test</t>
  </si>
  <si>
    <t xml:space="preserve">Paid product ready; CAC/retention measured</t>
  </si>
  <si>
    <t xml:space="preserve">Release / hold</t>
  </si>
  <si>
    <t xml:space="preserve">Contingency / board decision</t>
  </si>
  <si>
    <t xml:space="preserve">Documented need</t>
  </si>
  <si>
    <t xml:space="preserve">Release / retain</t>
  </si>
  <si>
    <t xml:space="preserve">TUPENSACI | Capital Tranches &amp; Decision Gates v3.0</t>
  </si>
  <si>
    <t xml:space="preserve">Il round da €300k è raccolto al closing. €285k sono autorizzabili per tranche; €15k restano in riserva fino a decisione esplicita del board.</t>
  </si>
  <si>
    <t xml:space="preserve">New tranche</t>
  </si>
  <si>
    <t xml:space="preserve">Cumulative authorized</t>
  </si>
  <si>
    <t xml:space="preserve">Primary use</t>
  </si>
  <si>
    <t xml:space="preserve">Minimum evidence</t>
  </si>
  <si>
    <t xml:space="preserve">Team, agency, relaunch, product start</t>
  </si>
  <si>
    <t xml:space="preserve">Round closed; owners appointed; 90-day plan live</t>
  </si>
  <si>
    <t xml:space="preserve">Continue build, open beta, improve creative and funnel</t>
  </si>
  <si>
    <t xml:space="preserve">3 workbooks relaunched; MER ≥2.2; CAC/order ≤€14; functional AI loop</t>
  </si>
  <si>
    <t xml:space="preserve">Paid AI launch and controlled acceleration</t>
  </si>
  <si>
    <t xml:space="preserve">Paid beta ready; safety accepted; trial, pricing and analytics live</t>
  </si>
  <si>
    <t xml:space="preserve">Contingency only</t>
  </si>
  <si>
    <t xml:space="preserve">Board-approved need</t>
  </si>
  <si>
    <t xml:space="preserve">Gate M9</t>
  </si>
  <si>
    <t xml:space="preserve">Operating scale decision</t>
  </si>
  <si>
    <t xml:space="preserve">Physical recovery visible; AI return and retention acceptable</t>
  </si>
  <si>
    <t xml:space="preserve">Continue / resize</t>
  </si>
  <si>
    <t xml:space="preserve">Gate M12</t>
  </si>
  <si>
    <t xml:space="preserve">Scale / follow-on decision</t>
  </si>
  <si>
    <t xml:space="preserve">Base ≈2k active; Accelerated 3k–3.5k only if CAC ≤€20 and churn ≤6%</t>
  </si>
  <si>
    <t xml:space="preserve">MONTHLY CAPITAL CONTROL — BASE CASE ASSUMES OPERATING GATES PASSED</t>
  </si>
  <si>
    <t xml:space="preserve">Cumulative modeled cash use</t>
  </si>
  <si>
    <t xml:space="preserve">Authorized headroom</t>
  </si>
  <si>
    <t xml:space="preserve">TUPENSACI | Cash &amp; Funding v3.0</t>
  </si>
  <si>
    <t xml:space="preserve">Il round da €300k viene raccolto integralmente; €285k sono autorizzabili per tranche e €15k restano in riserva. Il Base misura la sostenibilità, l'Accelerato viene finanziato solo dopo evidenza.</t>
  </si>
  <si>
    <t xml:space="preserve">MONTHLY CASH ROLL-FORWARD</t>
  </si>
  <si>
    <t xml:space="preserve">Opening cash</t>
  </si>
  <si>
    <t xml:space="preserve">Net cash flow</t>
  </si>
  <si>
    <t xml:space="preserve">Closing cash</t>
  </si>
  <si>
    <t xml:space="preserve">Cumulative cash flow before financing</t>
  </si>
  <si>
    <t xml:space="preserve">FUNDING ADEQUACY</t>
  </si>
  <si>
    <t xml:space="preserve">Funding required through M12 — before contingency</t>
  </si>
  <si>
    <t xml:space="preserve">Initial 12-month funding requirement</t>
  </si>
  <si>
    <t xml:space="preserve">Surplus / (gap) vs €300k at M12</t>
  </si>
  <si>
    <t xml:space="preserve">Closing cash at M12</t>
  </si>
  <si>
    <t xml:space="preserve">Funding required through M18</t>
  </si>
  <si>
    <t xml:space="preserve">Headroom / (gap) vs initial €300k at M18</t>
  </si>
  <si>
    <t xml:space="preserve">Worst cash month</t>
  </si>
  <si>
    <t xml:space="preserve">Minimum modeled cash balance</t>
  </si>
  <si>
    <t xml:space="preserve">TUPENSACI | Scenario &amp; Sensitivity v3.0</t>
  </si>
  <si>
    <t xml:space="preserve">Il Base è il piano integrato. L'Accelerato è modellato separatamente e richiede evidenza osservata, non la sola presenza di un'agenzia.</t>
  </si>
  <si>
    <t xml:space="preserve">SCENARIO UNIT ECONOMICS</t>
  </si>
  <si>
    <t xml:space="preserve">Interpretation</t>
  </si>
  <si>
    <t xml:space="preserve">Monthly churn</t>
  </si>
  <si>
    <t xml:space="preserve">Retention risk</t>
  </si>
  <si>
    <t xml:space="preserve">Direct AI blended CAC</t>
  </si>
  <si>
    <t xml:space="preserve">Acquisition efficiency</t>
  </si>
  <si>
    <t xml:space="preserve">Monthly contribution / user</t>
  </si>
  <si>
    <t xml:space="preserve">Confirmed economic model</t>
  </si>
  <si>
    <t xml:space="preserve">Illustrative LTV</t>
  </si>
  <si>
    <t xml:space="preserve">Contribution / churn</t>
  </si>
  <si>
    <t xml:space="preserve">LTV / CAC</t>
  </si>
  <si>
    <t xml:space="preserve">Base pricing now targets &gt;2x; paid scale requires ≥3x observed</t>
  </si>
  <si>
    <t xml:space="preserve">CAC payback (months)</t>
  </si>
  <si>
    <t xml:space="preserve">Months to recover CAC</t>
  </si>
  <si>
    <t xml:space="preserve">LTV / CAC SENSITIVITY</t>
  </si>
  <si>
    <t xml:space="preserve">Monthly churn ↓ / CAC →</t>
  </si>
  <si>
    <t xml:space="preserve">Reading</t>
  </si>
  <si>
    <t xml:space="preserve">Target retention</t>
  </si>
  <si>
    <t xml:space="preserve">Base churn</t>
  </si>
  <si>
    <t xml:space="preserve">Downside churn</t>
  </si>
  <si>
    <t xml:space="preserve">CROSS-SELL LOGIC</t>
  </si>
  <si>
    <t xml:space="preserve">Lever</t>
  </si>
  <si>
    <t xml:space="preserve">Why it matters</t>
  </si>
  <si>
    <t xml:space="preserve">Historical customers converted</t>
  </si>
  <si>
    <t xml:space="preserve">Low-cost launch audience</t>
  </si>
  <si>
    <t xml:space="preserve">AI attach on 1,000 new physical buyers</t>
  </si>
  <si>
    <t xml:space="preserve">Built-in distribution at product purchase</t>
  </si>
  <si>
    <t xml:space="preserve">Cash collected upfront</t>
  </si>
  <si>
    <t xml:space="preserve">Physical repeat / cross-sell</t>
  </si>
  <si>
    <t xml:space="preserve">Expands LTV beyond one workbook</t>
  </si>
  <si>
    <t xml:space="preserve">BASE / ACCELERATED BRANCH</t>
  </si>
  <si>
    <t xml:space="preserve">Current branch</t>
  </si>
  <si>
    <t xml:space="preserve">Test rule</t>
  </si>
  <si>
    <t xml:space="preserve">Branch</t>
  </si>
  <si>
    <t xml:space="preserve">Validate willingness to pay</t>
  </si>
  <si>
    <t xml:space="preserve">Scale only after observed economics</t>
  </si>
  <si>
    <t xml:space="preserve">Branch is selected manually</t>
  </si>
  <si>
    <t xml:space="preserve">Effective blended CAC</t>
  </si>
  <si>
    <t xml:space="preserve">Base ≈ €22.40</t>
  </si>
  <si>
    <t xml:space="preserve">Warm €15; broad launch €28; scale ≤€20</t>
  </si>
  <si>
    <t xml:space="preserve">Do not infer improvement from agency presence</t>
  </si>
  <si>
    <t xml:space="preserve">Base 8%</t>
  </si>
  <si>
    <t xml:space="preserve">≤6% observed</t>
  </si>
  <si>
    <t xml:space="preserve">Cohort retention is the binding metric</t>
  </si>
  <si>
    <t xml:space="preserve">&gt;2x under new pricing</t>
  </si>
  <si>
    <t xml:space="preserve">≥3x observed</t>
  </si>
  <si>
    <t xml:space="preserve">Gate uses contribution LTV</t>
  </si>
  <si>
    <t xml:space="preserve">Paid budget logic</t>
  </si>
  <si>
    <t xml:space="preserve">Base: capped acquisition</t>
  </si>
  <si>
    <t xml:space="preserve">Accelerated: €70k M7–M18, then only if gates pass</t>
  </si>
  <si>
    <t xml:space="preserve">≈2k M12 / ≈4k M24</t>
  </si>
  <si>
    <t xml:space="preserve">≈3.2k M12 / ≈4.7–5k M24</t>
  </si>
  <si>
    <t xml:space="preserve">See Accelerated Case and Commercial Funnel sheets</t>
  </si>
  <si>
    <t xml:space="preserve">Scale authorization</t>
  </si>
  <si>
    <t xml:space="preserve">No automatic scale</t>
  </si>
  <si>
    <t xml:space="preserve">All three conditions required</t>
  </si>
  <si>
    <t xml:space="preserve">Board/investor decision after evidence</t>
  </si>
  <si>
    <t xml:space="preserve">TUPENSACI | Base vs Accelerated AI</t>
  </si>
  <si>
    <t xml:space="preserve">Il Base resta il piano operativo. L'Accelerato è un'opzione subordinata a CAC ≤ €20, churn ≤ 6%, qualità/safety accettabili e reale ritorno d'uso.</t>
  </si>
  <si>
    <t xml:space="preserve">SCENARIO COMPARISON</t>
  </si>
  <si>
    <t xml:space="preserve">Accelerated</t>
  </si>
  <si>
    <t xml:space="preserve">Delta</t>
  </si>
  <si>
    <t xml:space="preserve">Gate / interpretation</t>
  </si>
  <si>
    <t xml:space="preserve">Base source</t>
  </si>
  <si>
    <t xml:space="preserve">Accelerated source</t>
  </si>
  <si>
    <t xml:space="preserve">Active paid users — M12</t>
  </si>
  <si>
    <t xml:space="preserve">Target 3,000–3,500 only after gates</t>
  </si>
  <si>
    <t xml:space="preserve">Base cohorts</t>
  </si>
  <si>
    <t xml:space="preserve">Warm + broad scale</t>
  </si>
  <si>
    <t xml:space="preserve">Active paid users — M24</t>
  </si>
  <si>
    <t xml:space="preserve">Around 5,000, not an automatic commitment</t>
  </si>
  <si>
    <t xml:space="preserve">AI revenue — Year 1</t>
  </si>
  <si>
    <t xml:space="preserve">Pricing €9 / €89 / €69</t>
  </si>
  <si>
    <t xml:space="preserve">Integrated Base</t>
  </si>
  <si>
    <t xml:space="preserve">Accelerated cohorts</t>
  </si>
  <si>
    <t xml:space="preserve">AI revenue — Year 2</t>
  </si>
  <si>
    <t xml:space="preserve">Scale only if retention holds</t>
  </si>
  <si>
    <t xml:space="preserve">Paid AI media — M7–M18</t>
  </si>
  <si>
    <t xml:space="preserve">Accelerated envelope = €70k</t>
  </si>
  <si>
    <t xml:space="preserve">Base paid test</t>
  </si>
  <si>
    <t xml:space="preserve">€25k warm + €45k broad</t>
  </si>
  <si>
    <t xml:space="preserve">Scale requires ≤6% observed</t>
  </si>
  <si>
    <t xml:space="preserve">Base assumption</t>
  </si>
  <si>
    <t xml:space="preserve">Scale gate</t>
  </si>
  <si>
    <t xml:space="preserve">ACCELERATED COHORT ENGINE — 24 MONTHS</t>
  </si>
  <si>
    <t xml:space="preserve">Historical CRM conversions — organic</t>
  </si>
  <si>
    <t xml:space="preserve">Physical buyer AI attach</t>
  </si>
  <si>
    <t xml:space="preserve">Warm/community media</t>
  </si>
  <si>
    <t xml:space="preserve">Broad media</t>
  </si>
  <si>
    <t xml:space="preserve">Warm paid users</t>
  </si>
  <si>
    <t xml:space="preserve">Broad paid users</t>
  </si>
  <si>
    <t xml:space="preserve">Beta direct users</t>
  </si>
  <si>
    <t xml:space="preserve">Standard + renewal annual bookings</t>
  </si>
  <si>
    <t xml:space="preserve">Founding annual contribution</t>
  </si>
  <si>
    <t xml:space="preserve">Standard + renewal contribution</t>
  </si>
  <si>
    <t xml:space="preserve">TUPENSACI | Commercial Funnel v3.0</t>
  </si>
  <si>
    <t xml:space="preserve">La prova gratuita è un'esperienza guidata di 7 giorni senza carta. Non è un prodotto free permanente e non sostituisce il CAC: il CAC resta misurato sul cliente pagante.</t>
  </si>
  <si>
    <t xml:space="preserve">OFFER ARCHITECTURE</t>
  </si>
  <si>
    <t xml:space="preserve">Element</t>
  </si>
  <si>
    <t xml:space="preserve">Who receives it</t>
  </si>
  <si>
    <t xml:space="preserve">Renewal / exit</t>
  </si>
  <si>
    <t xml:space="preserve">Model link</t>
  </si>
  <si>
    <t xml:space="preserve">Monthly plan</t>
  </si>
  <si>
    <t xml:space="preserve">All paid users</t>
  </si>
  <si>
    <t xml:space="preserve">Monthly</t>
  </si>
  <si>
    <t xml:space="preserve">Low-friction entry</t>
  </si>
  <si>
    <t xml:space="preserve">AI Cohorts</t>
  </si>
  <si>
    <t xml:space="preserve">Annual standard</t>
  </si>
  <si>
    <t xml:space="preserve">Broad / standard users</t>
  </si>
  <si>
    <t xml:space="preserve">Renews at €89</t>
  </si>
  <si>
    <t xml:space="preserve">Upfront cash and retention</t>
  </si>
  <si>
    <t xml:space="preserve">Annual founding</t>
  </si>
  <si>
    <t xml:space="preserve">€/first year</t>
  </si>
  <si>
    <t xml:space="preserve">Community, clients, workbook-linked</t>
  </si>
  <si>
    <t xml:space="preserve">Launch incentive without lowering list price</t>
  </si>
  <si>
    <t xml:space="preserve">Guided trial</t>
  </si>
  <si>
    <t xml:space="preserve">New prospects</t>
  </si>
  <si>
    <t xml:space="preserve">Pay or stop</t>
  </si>
  <si>
    <t xml:space="preserve">Experience the product before payment</t>
  </si>
  <si>
    <t xml:space="preserve">Operational funnel</t>
  </si>
  <si>
    <t xml:space="preserve">Payment card</t>
  </si>
  <si>
    <t xml:space="preserve">No</t>
  </si>
  <si>
    <t xml:space="preserve">—</t>
  </si>
  <si>
    <t xml:space="preserve">Trial users</t>
  </si>
  <si>
    <t xml:space="preserve">Checkout after trial</t>
  </si>
  <si>
    <t xml:space="preserve">Reduces trial friction</t>
  </si>
  <si>
    <t xml:space="preserve">Permanent free tier</t>
  </si>
  <si>
    <t xml:space="preserve">Protects product value and cost control</t>
  </si>
  <si>
    <t xml:space="preserve">Inactive data retention</t>
  </si>
  <si>
    <t xml:space="preserve">Expired trial/account</t>
  </si>
  <si>
    <t xml:space="preserve">Delete per policy</t>
  </si>
  <si>
    <t xml:space="preserve">Clear user control</t>
  </si>
  <si>
    <t xml:space="preserve">To formalize</t>
  </si>
  <si>
    <t xml:space="preserve">Privacy rule</t>
  </si>
  <si>
    <t xml:space="preserve">TRIAL FUNNEL — ACCELERATED CASE</t>
  </si>
  <si>
    <t xml:space="preserve">Audience</t>
  </si>
  <si>
    <t xml:space="preserve">Media</t>
  </si>
  <si>
    <t xml:space="preserve">Paid CAC</t>
  </si>
  <si>
    <t xml:space="preserve">Paid users</t>
  </si>
  <si>
    <t xml:space="preserve">Trial-to-paid</t>
  </si>
  <si>
    <t xml:space="preserve">Implied trials</t>
  </si>
  <si>
    <t xml:space="preserve">Implied cost / trial</t>
  </si>
  <si>
    <t xml:space="preserve">Warm/community M7–M12</t>
  </si>
  <si>
    <t xml:space="preserve">Existing relationship should improve conversion</t>
  </si>
  <si>
    <t xml:space="preserve">Broad M7–M12</t>
  </si>
  <si>
    <t xml:space="preserve">Broad starts cautiously; do not assume immediate optimization</t>
  </si>
  <si>
    <t xml:space="preserve">Broad M13–M18</t>
  </si>
  <si>
    <t xml:space="preserve">Released only after retention and safety evidence</t>
  </si>
  <si>
    <t xml:space="preserve">TOTAL / blended</t>
  </si>
  <si>
    <t xml:space="preserve">€70k accelerated envelope across the first 12 paid months</t>
  </si>
  <si>
    <t xml:space="preserve">MEASUREMENT RULE</t>
  </si>
  <si>
    <t xml:space="preserve">Il trial-to-paid è un KPI di prodotto e funnel. Il CAC del modello è già espresso per cliente pagante: non va moltiplicato una seconda volta per il tasso di conversione. Il test sarà superato soltanto se le persone pagano, tornano dopo il primo uso e restano a 30, 60 e 90 giorni.</t>
  </si>
  <si>
    <t xml:space="preserve">TUPENSACI | Checks &amp; Sources v3.0</t>
  </si>
  <si>
    <t xml:space="preserve">Model integrity, scenario gates and source lineage. All checks should read OK before external use.</t>
  </si>
  <si>
    <t xml:space="preserve">MODEL CHECKS</t>
  </si>
  <si>
    <t xml:space="preserve">Check</t>
  </si>
  <si>
    <t xml:space="preserve">Purpose</t>
  </si>
  <si>
    <t xml:space="preserve">P&amp;L revenue tie</t>
  </si>
  <si>
    <t xml:space="preserve">Physical + AI equals total revenue</t>
  </si>
  <si>
    <t xml:space="preserve">Cash roll-forward tie</t>
  </si>
  <si>
    <t xml:space="preserve">Opening + net flow equals closing</t>
  </si>
  <si>
    <t xml:space="preserve">AI mix tie</t>
  </si>
  <si>
    <t xml:space="preserve">Annual + monthly cohorts equal new users</t>
  </si>
  <si>
    <t xml:space="preserve">Physical orders non-negative</t>
  </si>
  <si>
    <t xml:space="preserve">No negative volume</t>
  </si>
  <si>
    <t xml:space="preserve">AI active users non-negative</t>
  </si>
  <si>
    <t xml:space="preserve">No negative active cohort</t>
  </si>
  <si>
    <t xml:space="preserve">Selected scenario valid</t>
  </si>
  <si>
    <t xml:space="preserve">Control cell is one of three scenarios</t>
  </si>
  <si>
    <t xml:space="preserve">Founder compensation visible</t>
  </si>
  <si>
    <t xml:space="preserve">No hidden founder cost assumption</t>
  </si>
  <si>
    <t xml:space="preserve">Lean team blueprint tie</t>
  </si>
  <si>
    <t xml:space="preserve">M19 recurring opex equals the detailed team blueprint</t>
  </si>
  <si>
    <t xml:space="preserve">AI branch valid</t>
  </si>
  <si>
    <t xml:space="preserve">Test or Scale only</t>
  </si>
  <si>
    <t xml:space="preserve">Growth extension control valid</t>
  </si>
  <si>
    <t xml:space="preserve">On or Off only</t>
  </si>
  <si>
    <t xml:space="preserve">Current branch unit economics</t>
  </si>
  <si>
    <t xml:space="preserve">Test ≥2x; Scale ≥3x</t>
  </si>
  <si>
    <t xml:space="preserve">Use of proceeds total</t>
  </si>
  <si>
    <t xml:space="preserve">Allocation equals €300k round</t>
  </si>
  <si>
    <t xml:space="preserve">Pricing contribution positive</t>
  </si>
  <si>
    <t xml:space="preserve">All three offers contribute after delivery costs</t>
  </si>
  <si>
    <t xml:space="preserve">Accelerated M12 target</t>
  </si>
  <si>
    <t xml:space="preserve">Gated target range 3,000–3,500</t>
  </si>
  <si>
    <t xml:space="preserve">Accelerated M24 ceiling</t>
  </si>
  <si>
    <t xml:space="preserve">Around 5,000, not unconstrained scale</t>
  </si>
  <si>
    <t xml:space="preserve">Capital operating authorization</t>
  </si>
  <si>
    <t xml:space="preserve">€285k released by gates; €15k reserve held</t>
  </si>
  <si>
    <t xml:space="preserve">SOURCE REGISTER</t>
  </si>
  <si>
    <t xml:space="preserve">Source</t>
  </si>
  <si>
    <t xml:space="preserve">Type</t>
  </si>
  <si>
    <t xml:space="preserve">Location</t>
  </si>
  <si>
    <t xml:space="preserve">Used for</t>
  </si>
  <si>
    <t xml:space="preserve">Owner</t>
  </si>
  <si>
    <t xml:space="preserve">Confidence</t>
  </si>
  <si>
    <t xml:space="preserve">Notes</t>
  </si>
  <si>
    <t xml:space="preserve">ANALISI ORDINI TP (1).xlsx</t>
  </si>
  <si>
    <t xml:space="preserve">Internal actuals</t>
  </si>
  <si>
    <t xml:space="preserve">Workspace root</t>
  </si>
  <si>
    <t xml:space="preserve">Revenue, ADV, fulfillment, historical trends</t>
  </si>
  <si>
    <t xml:space="preserve">2023–17 Jun 2026</t>
  </si>
  <si>
    <t xml:space="preserve">TUPENSACI</t>
  </si>
  <si>
    <t xml:space="preserve">High</t>
  </si>
  <si>
    <t xml:space="preserve">Primary financial actuals</t>
  </si>
  <si>
    <t xml:space="preserve">TUPENSACI AI - Modello economico riconciliato v1.0.xlsx</t>
  </si>
  <si>
    <t xml:space="preserve">Internal model</t>
  </si>
  <si>
    <t xml:space="preserve">output/financial-model</t>
  </si>
  <si>
    <t xml:space="preserve">AI unit economics, churn/CAC, cost structure</t>
  </si>
  <si>
    <t xml:space="preserve">Current</t>
  </si>
  <si>
    <t xml:space="preserve">Medium</t>
  </si>
  <si>
    <t xml:space="preserve">Assumptions require market validation</t>
  </si>
  <si>
    <t xml:space="preserve">Business Plan Tupensaci AI (3).xlsx</t>
  </si>
  <si>
    <t xml:space="preserve">Legacy model</t>
  </si>
  <si>
    <t xml:space="preserve">Prior operating cost architecture</t>
  </si>
  <si>
    <t xml:space="preserve">Legacy</t>
  </si>
  <si>
    <t xml:space="preserve">Used only after reconciliation</t>
  </si>
  <si>
    <t xml:space="preserve">Management working session</t>
  </si>
  <si>
    <t xml:space="preserve">Confirmed inputs</t>
  </si>
  <si>
    <t xml:space="preserve">This task</t>
  </si>
  <si>
    <t xml:space="preserve">Pricing €9/€89/€69, 7-day trial, acceleration gates and round allocation</t>
  </si>
  <si>
    <t xml:space="preserve">Aug 2026</t>
  </si>
  <si>
    <t xml:space="preserve">Founders</t>
  </si>
  <si>
    <t xml:space="preserve">Commercial inputs confirmed in conversation</t>
  </si>
  <si>
    <t xml:space="preserve">Extendi preliminary MVP indication</t>
  </si>
  <si>
    <t xml:space="preserve">Vendor pre-quote</t>
  </si>
  <si>
    <t xml:space="preserve">Management correspondence / technical package</t>
  </si>
  <si>
    <t xml:space="preserve">Core web-app MVP indication below €30k; not a signed quote</t>
  </si>
  <si>
    <t xml:space="preserve">Jul 2026</t>
  </si>
  <si>
    <t xml:space="preserve">Extendi</t>
  </si>
  <si>
    <t xml:space="preserve">Low / preliminary</t>
  </si>
  <si>
    <t xml:space="preserve">v3 keeps a €75k product envelope including work beyond core coding</t>
  </si>
  <si>
    <t xml:space="preserve">Team &amp; Agency Blueprint v3.0</t>
  </si>
  <si>
    <t xml:space="preserve">Operating design</t>
  </si>
  <si>
    <t xml:space="preserve">Team Blueprint sheet</t>
  </si>
  <si>
    <t xml:space="preserve">Team, agency and accountable growth architecture</t>
  </si>
  <si>
    <t xml:space="preserve">36-month plan</t>
  </si>
  <si>
    <t xml:space="preserve">Management-approved planning structure; agency quote pending</t>
  </si>
  <si>
    <t xml:space="preserve">Competitive Evidence Pack — TUPENSACI.pdf</t>
  </si>
  <si>
    <t xml:space="preserve">Independent desk research</t>
  </si>
  <si>
    <t xml:space="preserve">Competitive landscape and positioning</t>
  </si>
  <si>
    <t xml:space="preserve">External research</t>
  </si>
  <si>
    <t xml:space="preserve">Supports differentiation thesis; does not prove demand or TAM</t>
  </si>
  <si>
    <t xml:space="preserve">Capital Gates v3.0</t>
  </si>
  <si>
    <t xml:space="preserve">Capital authorization plan</t>
  </si>
  <si>
    <t xml:space="preserve">Capital Gates sheet</t>
  </si>
  <si>
    <t xml:space="preserve">€90k / €80k / €115k operating tranches + €15k reserve</t>
  </si>
  <si>
    <t xml:space="preserve">12-month proof plan</t>
  </si>
  <si>
    <t xml:space="preserve">Board authorization model; thresholds must be replaced with observed results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</si>
</sst>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€#,##0"/>
    <numFmt numFmtId="166" formatCode="\€#,##0"/>
    <numFmt numFmtId="167" formatCode="#,##0"/>
    <numFmt numFmtId="168" formatCode="0.0%"/>
    <numFmt numFmtId="169" formatCode="\€#,##0.00"/>
    <numFmt numFmtId="170" formatCode="\€0.00"/>
    <numFmt numFmtId="171" formatCode="0.00\x"/>
    <numFmt numFmtId="172" formatCode="#,##0.0"/>
    <numFmt numFmtId="173" formatCode="0.0"/>
    <numFmt numFmtId="174" formatCode="\€0"/>
    <numFmt numFmtId="175" formatCode="\€#,##0.00"/>
    <numFmt numFmtId="176" formatCode="0.00"/>
  </numFmts>
  <fonts count="2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ptos"/>
      <family val="0"/>
      <charset val="1"/>
    </font>
    <font>
      <i val="true"/>
      <sz val="10"/>
      <color rgb="FF6B706D"/>
      <name val="Aptos"/>
      <family val="0"/>
      <charset val="1"/>
    </font>
    <font>
      <sz val="10"/>
      <color rgb="FF111111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b val="true"/>
      <sz val="10"/>
      <color rgb="FF111111"/>
      <name val="Aptos"/>
      <family val="0"/>
      <charset val="1"/>
    </font>
    <font>
      <b val="true"/>
      <sz val="18"/>
      <color rgb="FF000000"/>
      <name val="Calibri"/>
      <family val="2"/>
    </font>
    <font>
      <sz val="6.75"/>
      <color rgb="FF000000"/>
      <name val="Calibri"/>
      <family val="2"/>
    </font>
    <font>
      <sz val="10"/>
      <color rgb="FF000000"/>
      <name val="Calibri"/>
      <family val="2"/>
    </font>
    <font>
      <sz val="10"/>
      <name val="Arial"/>
      <family val="2"/>
    </font>
    <font>
      <sz val="10"/>
      <color rgb="FF008000"/>
      <name val="Aptos"/>
      <family val="0"/>
      <charset val="1"/>
    </font>
    <font>
      <b val="true"/>
      <sz val="10"/>
      <color rgb="FF008000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20"/>
      <color rgb="FFFFFFFF"/>
      <name val="Aptos Display"/>
      <family val="0"/>
      <charset val="1"/>
    </font>
    <font>
      <i val="true"/>
      <sz val="10"/>
      <color rgb="FF555552"/>
      <name val="Aptos"/>
      <family val="0"/>
      <charset val="1"/>
    </font>
    <font>
      <b val="true"/>
      <sz val="9"/>
      <color rgb="FFFFFFFF"/>
      <name val="Aptos"/>
      <family val="0"/>
      <charset val="1"/>
    </font>
    <font>
      <sz val="9"/>
      <color rgb="FF232321"/>
      <name val="Aptos"/>
      <family val="0"/>
      <charset val="1"/>
    </font>
    <font>
      <b val="true"/>
      <sz val="9"/>
      <color rgb="FF232321"/>
      <name val="Aptos"/>
      <family val="0"/>
      <charset val="1"/>
    </font>
    <font>
      <sz val="8"/>
      <color rgb="FF232321"/>
      <name val="Aptos"/>
      <family val="0"/>
      <charset val="1"/>
    </font>
    <font>
      <b val="true"/>
      <sz val="8"/>
      <color rgb="FF232321"/>
      <name val="Aptos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8211D"/>
        <bgColor rgb="FF232321"/>
      </patternFill>
    </fill>
    <fill>
      <patternFill patternType="solid">
        <fgColor rgb="FFF4F2EB"/>
        <bgColor rgb="FFF7F3EB"/>
      </patternFill>
    </fill>
    <fill>
      <patternFill patternType="solid">
        <fgColor rgb="FF235347"/>
        <bgColor rgb="FF164D2A"/>
      </patternFill>
    </fill>
    <fill>
      <patternFill patternType="solid">
        <fgColor rgb="FFDCE8E1"/>
        <bgColor rgb="FFE2F0D9"/>
      </patternFill>
    </fill>
    <fill>
      <patternFill patternType="solid">
        <fgColor rgb="FFFFFFFF"/>
        <bgColor rgb="FFF7F3EB"/>
      </patternFill>
    </fill>
    <fill>
      <patternFill patternType="solid">
        <fgColor rgb="FFFFF2CC"/>
        <bgColor rgb="FFF3EADB"/>
      </patternFill>
    </fill>
    <fill>
      <patternFill patternType="solid">
        <fgColor rgb="FFEAF2F8"/>
        <bgColor rgb="FFE7F0E8"/>
      </patternFill>
    </fill>
    <fill>
      <patternFill patternType="solid">
        <fgColor rgb="FF164D2A"/>
        <bgColor rgb="FF235347"/>
      </patternFill>
    </fill>
    <fill>
      <patternFill patternType="solid">
        <fgColor rgb="FFF7F3EB"/>
        <bgColor rgb="FFF4F2EB"/>
      </patternFill>
    </fill>
    <fill>
      <patternFill patternType="solid">
        <fgColor rgb="FF1D6837"/>
        <bgColor rgb="FF235347"/>
      </patternFill>
    </fill>
    <fill>
      <patternFill patternType="solid">
        <fgColor rgb="FFE7F0E8"/>
        <bgColor rgb="FFE2F0D9"/>
      </patternFill>
    </fill>
    <fill>
      <patternFill patternType="solid">
        <fgColor rgb="FFF3EADB"/>
        <bgColor rgb="FFFCE8E6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CC9C1"/>
      </left>
      <right/>
      <top style="thin">
        <color rgb="FFBCC9C1"/>
      </top>
      <bottom style="thin">
        <color rgb="FFBCC9C1"/>
      </bottom>
      <diagonal/>
    </border>
    <border diagonalUp="false" diagonalDown="false">
      <left/>
      <right/>
      <top style="thin">
        <color rgb="FFBCC9C1"/>
      </top>
      <bottom style="thin">
        <color rgb="FFBCC9C1"/>
      </bottom>
      <diagonal/>
    </border>
    <border diagonalUp="false" diagonalDown="false">
      <left/>
      <right style="thin">
        <color rgb="FFBCC9C1"/>
      </right>
      <top style="thin">
        <color rgb="FFBCC9C1"/>
      </top>
      <bottom style="thin">
        <color rgb="FFBCC9C1"/>
      </bottom>
      <diagonal/>
    </border>
    <border diagonalUp="false" diagonalDown="false">
      <left/>
      <right/>
      <top/>
      <bottom style="thin">
        <color rgb="FFAAB8B0"/>
      </bottom>
      <diagonal/>
    </border>
    <border diagonalUp="false" diagonalDown="false">
      <left/>
      <right/>
      <top/>
      <bottom style="thin">
        <color rgb="FFD8D2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8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6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6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1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14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8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4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5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9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1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1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11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9" fillId="1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9" fillId="1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9" fillId="1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6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9" fillId="6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9" fillId="6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1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0" fillId="1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20" fillId="1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9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1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8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9" fillId="1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9" fillId="6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1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1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1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2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9" fillId="6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19" fillId="1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20" fillId="1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20" fillId="1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1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6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b val="1"/>
        <color rgb="FFC00000"/>
      </font>
      <fill>
        <patternFill>
          <bgColor rgb="FFFCE8E6"/>
        </patternFill>
      </fill>
    </dxf>
    <dxf>
      <fill>
        <patternFill patternType="solid">
          <fgColor rgb="FFDCE8E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11111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4F2EB"/>
          <bgColor rgb="FF000000"/>
        </patternFill>
      </fill>
    </dxf>
    <dxf>
      <font>
        <b val="1"/>
        <color rgb="FF235347"/>
      </font>
      <fill>
        <patternFill>
          <bgColor rgb="FFE2F0D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7F3EB"/>
      <rgbColor rgb="FFFF00FF"/>
      <rgbColor rgb="FF00FFFF"/>
      <rgbColor rgb="FF800000"/>
      <rgbColor rgb="FF008000"/>
      <rgbColor rgb="FF111111"/>
      <rgbColor rgb="FF808000"/>
      <rgbColor rgb="FF800080"/>
      <rgbColor rgb="FF156082"/>
      <rgbColor rgb="FFBCC9C1"/>
      <rgbColor rgb="FF8B8B8B"/>
      <rgbColor rgb="FF9999FF"/>
      <rgbColor rgb="FF993366"/>
      <rgbColor rgb="FFFFF2CC"/>
      <rgbColor rgb="FFEAF2F8"/>
      <rgbColor rgb="FF660066"/>
      <rgbColor rgb="FFFF8080"/>
      <rgbColor rgb="FF0066CC"/>
      <rgbColor rgb="FFCCCCCC"/>
      <rgbColor rgb="FF000080"/>
      <rgbColor rgb="FFFF00FF"/>
      <rgbColor rgb="FFF4F2EB"/>
      <rgbColor rgb="FF00FFFF"/>
      <rgbColor rgb="FF800080"/>
      <rgbColor rgb="FF800000"/>
      <rgbColor rgb="FF1D6837"/>
      <rgbColor rgb="FF0000FF"/>
      <rgbColor rgb="FF00CCFF"/>
      <rgbColor rgb="FFE7F0E8"/>
      <rgbColor rgb="FFE2F0D9"/>
      <rgbColor rgb="FFF3EADB"/>
      <rgbColor rgb="FFD9D9D9"/>
      <rgbColor rgb="FFFCE8E6"/>
      <rgbColor rgb="FFDCE8E1"/>
      <rgbColor rgb="FFD8D2C8"/>
      <rgbColor rgb="FF3366FF"/>
      <rgbColor rgb="FF33CCCC"/>
      <rgbColor rgb="FF99CC00"/>
      <rgbColor rgb="FFFFCC00"/>
      <rgbColor rgb="FFFF9900"/>
      <rgbColor rgb="FFE97132"/>
      <rgbColor rgb="FF6B706D"/>
      <rgbColor rgb="FFAAB8B0"/>
      <rgbColor rgb="FF235347"/>
      <rgbColor rgb="FF339966"/>
      <rgbColor rgb="FF18211D"/>
      <rgbColor rgb="FF164D2A"/>
      <rgbColor rgb="FF993300"/>
      <rgbColor rgb="FF993366"/>
      <rgbColor rgb="FF555552"/>
      <rgbColor rgb="FF2323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Revenue mix shifts from physical to recurring AI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"Physical"</c:f>
              <c:strCache>
                <c:ptCount val="1"/>
                <c:pt idx="0">
                  <c:v>Physical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Summary'!$A$27:$A$29</c:f>
              <c:strCache>
                <c:ptCount val="3"/>
                <c:pt idx="0">
                  <c:v>Y1</c:v>
                </c:pt>
                <c:pt idx="1">
                  <c:v>Y2</c:v>
                </c:pt>
                <c:pt idx="2">
                  <c:v>Y3</c:v>
                </c:pt>
              </c:strCache>
            </c:strRef>
          </c:cat>
          <c:val>
            <c:numRef>
              <c:f>'Executive Summary'!$B$27:$B$29</c:f>
              <c:numCache>
                <c:formatCode>\€#,##0</c:formatCode>
                <c:ptCount val="3"/>
                <c:pt idx="0">
                  <c:v>364117.839685885</c:v>
                </c:pt>
                <c:pt idx="1">
                  <c:v>556333.281471182</c:v>
                </c:pt>
                <c:pt idx="2">
                  <c:v>629195.722751133</c:v>
                </c:pt>
              </c:numCache>
            </c:numRef>
          </c:val>
        </c:ser>
        <c:ser>
          <c:idx val="1"/>
          <c:order val="1"/>
          <c:tx>
            <c:strRef>
              <c:f>"AI"</c:f>
              <c:strCache>
                <c:ptCount val="1"/>
                <c:pt idx="0">
                  <c:v>AI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Summary'!$A$27:$A$29</c:f>
              <c:strCache>
                <c:ptCount val="3"/>
                <c:pt idx="0">
                  <c:v>Y1</c:v>
                </c:pt>
                <c:pt idx="1">
                  <c:v>Y2</c:v>
                </c:pt>
                <c:pt idx="2">
                  <c:v>Y3</c:v>
                </c:pt>
              </c:strCache>
            </c:strRef>
          </c:cat>
          <c:val>
            <c:numRef>
              <c:f>'Executive Summary'!$C$27:$C$29</c:f>
              <c:numCache>
                <c:formatCode>\€#,##0</c:formatCode>
                <c:ptCount val="3"/>
                <c:pt idx="0">
                  <c:v>121142.092260661</c:v>
                </c:pt>
                <c:pt idx="1">
                  <c:v>337997.875323911</c:v>
                </c:pt>
                <c:pt idx="2">
                  <c:v>482450.093480191</c:v>
                </c:pt>
              </c:numCache>
            </c:numRef>
          </c:val>
        </c:ser>
        <c:gapWidth val="150"/>
        <c:overlap val="0"/>
        <c:axId val="34565523"/>
        <c:axId val="7606967"/>
      </c:barChart>
      <c:catAx>
        <c:axId val="34565523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7606967"/>
        <c:crosses val="autoZero"/>
        <c:auto val="1"/>
        <c:lblAlgn val="ctr"/>
        <c:lblOffset val="100"/>
        <c:noMultiLvlLbl val="0"/>
      </c:catAx>
      <c:valAx>
        <c:axId val="7606967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\€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34565523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Ending cash by year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"Ending cash"</c:f>
              <c:strCache>
                <c:ptCount val="1"/>
                <c:pt idx="0">
                  <c:v>Ending cash</c:v>
                </c:pt>
              </c:strCache>
            </c:strRef>
          </c:tx>
          <c:spPr>
            <a:ln w="1260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Summary'!$F$27:$F$29</c:f>
              <c:strCache>
                <c:ptCount val="3"/>
                <c:pt idx="0">
                  <c:v>Y1</c:v>
                </c:pt>
                <c:pt idx="1">
                  <c:v>Y2</c:v>
                </c:pt>
                <c:pt idx="2">
                  <c:v>Y3</c:v>
                </c:pt>
              </c:strCache>
            </c:strRef>
          </c:cat>
          <c:val>
            <c:numRef>
              <c:f>'Executive Summary'!$G$27:$G$29</c:f>
              <c:numCache>
                <c:formatCode>\€#,##0</c:formatCode>
                <c:ptCount val="3"/>
                <c:pt idx="0">
                  <c:v>209357.949454319</c:v>
                </c:pt>
                <c:pt idx="1">
                  <c:v>357582.520574501</c:v>
                </c:pt>
                <c:pt idx="2">
                  <c:v>615050.00847056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659215"/>
        <c:axId val="32250930"/>
      </c:lineChart>
      <c:catAx>
        <c:axId val="1659215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32250930"/>
        <c:crosses val="autoZero"/>
        <c:auto val="1"/>
        <c:lblAlgn val="ctr"/>
        <c:lblOffset val="100"/>
        <c:noMultiLvlLbl val="0"/>
      </c:catAx>
      <c:valAx>
        <c:axId val="32250930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\€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1659215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13</xdr:col>
      <xdr:colOff>703800</xdr:colOff>
      <xdr:row>13</xdr:row>
      <xdr:rowOff>218160</xdr:rowOff>
    </xdr:to>
    <xdr:graphicFrame>
      <xdr:nvGraphicFramePr>
        <xdr:cNvPr id="1" name="Chart 1"/>
        <xdr:cNvGraphicFramePr/>
      </xdr:nvGraphicFramePr>
      <xdr:xfrm>
        <a:off x="9381960" y="819000"/>
        <a:ext cx="4228200" cy="2837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14</xdr:row>
      <xdr:rowOff>0</xdr:rowOff>
    </xdr:from>
    <xdr:to>
      <xdr:col>13</xdr:col>
      <xdr:colOff>703800</xdr:colOff>
      <xdr:row>24</xdr:row>
      <xdr:rowOff>189360</xdr:rowOff>
    </xdr:to>
    <xdr:graphicFrame>
      <xdr:nvGraphicFramePr>
        <xdr:cNvPr id="2" name="Chart 2"/>
        <xdr:cNvGraphicFramePr/>
      </xdr:nvGraphicFramePr>
      <xdr:xfrm>
        <a:off x="9381960" y="3657600"/>
        <a:ext cx="4228200" cy="3694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.33"/>
    <col collapsed="false" customWidth="true" hidden="false" outlineLevel="0" max="4" min="2" style="1" width="15"/>
    <col collapsed="false" customWidth="true" hidden="false" outlineLevel="0" max="5" min="5" style="1" width="3.11"/>
    <col collapsed="false" customWidth="true" hidden="false" outlineLevel="0" max="7" min="6" style="1" width="23.33"/>
    <col collapsed="false" customWidth="true" hidden="false" outlineLevel="0" max="14" min="8" style="1" width="10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24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15" hidden="false" customHeight="true" outlineLevel="0" collapsed="false">
      <c r="A4" s="5" t="s">
        <v>2</v>
      </c>
      <c r="B4" s="5"/>
      <c r="C4" s="5"/>
      <c r="D4" s="5"/>
      <c r="E4" s="4"/>
      <c r="F4" s="6" t="s">
        <v>3</v>
      </c>
      <c r="G4" s="6"/>
      <c r="H4" s="4"/>
      <c r="I4" s="4"/>
      <c r="J4" s="4"/>
      <c r="K4" s="4"/>
      <c r="L4" s="4"/>
      <c r="M4" s="4"/>
      <c r="N4" s="4"/>
    </row>
    <row r="5" customFormat="false" ht="15" hidden="false" customHeight="true" outlineLevel="0" collapsed="false">
      <c r="A5" s="7" t="s">
        <v>4</v>
      </c>
      <c r="B5" s="8" t="s">
        <v>5</v>
      </c>
      <c r="C5" s="8" t="s">
        <v>6</v>
      </c>
      <c r="D5" s="9" t="s">
        <v>7</v>
      </c>
      <c r="E5" s="4"/>
      <c r="F5" s="10" t="s">
        <v>4</v>
      </c>
      <c r="G5" s="11" t="s">
        <v>8</v>
      </c>
      <c r="H5" s="4"/>
      <c r="I5" s="4"/>
      <c r="J5" s="4"/>
      <c r="K5" s="4"/>
      <c r="L5" s="4"/>
      <c r="M5" s="4"/>
      <c r="N5" s="4"/>
    </row>
    <row r="6" customFormat="false" ht="15" hidden="false" customHeight="true" outlineLevel="0" collapsed="false">
      <c r="A6" s="4" t="s">
        <v>9</v>
      </c>
      <c r="B6" s="12" t="n">
        <f aca="false">SUM('P&amp;L 36 Months'!B10:M10)</f>
        <v>364117.839685885</v>
      </c>
      <c r="C6" s="12" t="n">
        <f aca="false">SUM('P&amp;L 36 Months'!N10:Y10)</f>
        <v>556333.281471182</v>
      </c>
      <c r="D6" s="12" t="n">
        <f aca="false">SUM('P&amp;L 36 Months'!Z10:AK10)</f>
        <v>629195.722751133</v>
      </c>
      <c r="E6" s="4"/>
      <c r="F6" s="10" t="s">
        <v>10</v>
      </c>
      <c r="G6" s="13" t="n">
        <f aca="false">Assumptions!$C$47</f>
        <v>300000</v>
      </c>
      <c r="H6" s="4"/>
      <c r="I6" s="4"/>
      <c r="J6" s="4"/>
      <c r="K6" s="4"/>
      <c r="L6" s="4"/>
      <c r="M6" s="4"/>
      <c r="N6" s="4"/>
    </row>
    <row r="7" customFormat="false" ht="15" hidden="false" customHeight="true" outlineLevel="0" collapsed="false">
      <c r="A7" s="4" t="s">
        <v>11</v>
      </c>
      <c r="B7" s="12" t="n">
        <f aca="false">SUM('P&amp;L 36 Months'!B11:M11)</f>
        <v>121142.092260661</v>
      </c>
      <c r="C7" s="12" t="n">
        <f aca="false">SUM('P&amp;L 36 Months'!N11:Y11)</f>
        <v>337997.875323911</v>
      </c>
      <c r="D7" s="12" t="n">
        <f aca="false">SUM('P&amp;L 36 Months'!Z11:AK11)</f>
        <v>482450.093480191</v>
      </c>
      <c r="E7" s="4"/>
      <c r="F7" s="10" t="s">
        <v>12</v>
      </c>
      <c r="G7" s="13" t="n">
        <f aca="false">'Capital Gates'!$C$5</f>
        <v>90000</v>
      </c>
      <c r="H7" s="4"/>
      <c r="I7" s="4"/>
      <c r="J7" s="4"/>
      <c r="K7" s="4"/>
      <c r="L7" s="4"/>
      <c r="M7" s="4"/>
      <c r="N7" s="4"/>
    </row>
    <row r="8" customFormat="false" ht="15" hidden="false" customHeight="true" outlineLevel="0" collapsed="false">
      <c r="A8" s="14" t="s">
        <v>13</v>
      </c>
      <c r="B8" s="15" t="n">
        <f aca="false">SUM('P&amp;L 36 Months'!B12:M12)</f>
        <v>485259.931946547</v>
      </c>
      <c r="C8" s="15" t="n">
        <f aca="false">SUM('P&amp;L 36 Months'!N12:Y12)</f>
        <v>894331.156795094</v>
      </c>
      <c r="D8" s="15" t="n">
        <f aca="false">SUM('P&amp;L 36 Months'!Z12:AK12)</f>
        <v>1111645.81623132</v>
      </c>
      <c r="E8" s="4"/>
      <c r="F8" s="10" t="s">
        <v>14</v>
      </c>
      <c r="G8" s="13" t="n">
        <f aca="false">'Capital Gates'!$C$6</f>
        <v>80000</v>
      </c>
      <c r="H8" s="4"/>
      <c r="I8" s="4"/>
      <c r="J8" s="4"/>
      <c r="K8" s="4"/>
      <c r="L8" s="4"/>
      <c r="M8" s="4"/>
      <c r="N8" s="4"/>
    </row>
    <row r="9" customFormat="false" ht="15" hidden="false" customHeight="true" outlineLevel="0" collapsed="false">
      <c r="A9" s="4" t="s">
        <v>15</v>
      </c>
      <c r="B9" s="12" t="n">
        <f aca="false">SUM('P&amp;L 36 Months'!B16:M16)</f>
        <v>288357.949455594</v>
      </c>
      <c r="C9" s="12" t="n">
        <f aca="false">SUM('P&amp;L 36 Months'!N16:Y16)</f>
        <v>523224.571120181</v>
      </c>
      <c r="D9" s="12" t="n">
        <f aca="false">SUM('P&amp;L 36 Months'!Z16:AK16)</f>
        <v>644467.487896059</v>
      </c>
      <c r="E9" s="4"/>
      <c r="F9" s="10" t="s">
        <v>16</v>
      </c>
      <c r="G9" s="13" t="n">
        <f aca="false">'Capital Gates'!$C$7</f>
        <v>115000</v>
      </c>
      <c r="H9" s="4"/>
      <c r="I9" s="4"/>
      <c r="J9" s="4"/>
      <c r="K9" s="4"/>
      <c r="L9" s="4"/>
      <c r="M9" s="4"/>
      <c r="N9" s="4"/>
    </row>
    <row r="10" customFormat="false" ht="24.75" hidden="false" customHeight="true" outlineLevel="0" collapsed="false">
      <c r="A10" s="16" t="s">
        <v>17</v>
      </c>
      <c r="B10" s="17" t="n">
        <f aca="false">SUM('P&amp;L 36 Months'!B23:M23)</f>
        <v>9357.9494543194</v>
      </c>
      <c r="C10" s="17" t="n">
        <f aca="false">SUM('P&amp;L 36 Months'!N23:Y23)</f>
        <v>163224.571120181</v>
      </c>
      <c r="D10" s="17" t="n">
        <f aca="false">SUM('P&amp;L 36 Months'!Z23:AK23)</f>
        <v>272467.487896059</v>
      </c>
      <c r="E10" s="4"/>
      <c r="F10" s="10" t="s">
        <v>18</v>
      </c>
      <c r="G10" s="13" t="n">
        <f aca="false">Assumptions!$C$48</f>
        <v>15000</v>
      </c>
      <c r="H10" s="4"/>
      <c r="I10" s="4"/>
      <c r="J10" s="4"/>
      <c r="K10" s="4"/>
      <c r="L10" s="4"/>
      <c r="M10" s="4"/>
      <c r="N10" s="4"/>
    </row>
    <row r="11" customFormat="false" ht="15" hidden="false" customHeight="true" outlineLevel="0" collapsed="false">
      <c r="A11" s="18" t="s">
        <v>19</v>
      </c>
      <c r="B11" s="19" t="n">
        <f aca="false">SUM('P&amp;L 36 Months'!B27:M27)</f>
        <v>-90642.0505456806</v>
      </c>
      <c r="C11" s="19" t="n">
        <f aca="false">SUM('P&amp;L 36 Months'!N27:Y27)</f>
        <v>148224.571120181</v>
      </c>
      <c r="D11" s="19" t="n">
        <f aca="false">SUM('P&amp;L 36 Months'!Z27:AK27)</f>
        <v>257467.487896059</v>
      </c>
      <c r="E11" s="4"/>
      <c r="F11" s="10" t="s">
        <v>20</v>
      </c>
      <c r="G11" s="11" t="s">
        <v>21</v>
      </c>
      <c r="H11" s="4"/>
      <c r="I11" s="4"/>
      <c r="J11" s="4"/>
      <c r="K11" s="4"/>
      <c r="L11" s="4"/>
      <c r="M11" s="4"/>
      <c r="N11" s="4"/>
    </row>
    <row r="12" customFormat="false" ht="61.5" hidden="false" customHeight="true" outlineLevel="0" collapsed="false">
      <c r="A12" s="4"/>
      <c r="B12" s="4"/>
      <c r="C12" s="4"/>
      <c r="D12" s="4"/>
      <c r="E12" s="4"/>
      <c r="F12" s="10" t="s">
        <v>22</v>
      </c>
      <c r="G12" s="20" t="str">
        <f aca="false">'Cash &amp; Funding'!B27</f>
        <v>Base is funded with headroom; Accelerated deployment remains conditional on gates</v>
      </c>
      <c r="H12" s="4"/>
      <c r="I12" s="4"/>
      <c r="J12" s="4"/>
      <c r="K12" s="4"/>
      <c r="L12" s="4"/>
      <c r="M12" s="4"/>
      <c r="N12" s="4"/>
    </row>
    <row r="13" customFormat="false" ht="15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customFormat="false" ht="17.25" hidden="false" customHeight="true" outlineLevel="0" collapsed="false">
      <c r="A14" s="5" t="s">
        <v>23</v>
      </c>
      <c r="B14" s="5"/>
      <c r="C14" s="5"/>
      <c r="D14" s="5"/>
      <c r="E14" s="5"/>
      <c r="F14" s="5"/>
      <c r="G14" s="5"/>
      <c r="H14" s="4"/>
      <c r="I14" s="4"/>
      <c r="J14" s="4"/>
      <c r="K14" s="4"/>
      <c r="L14" s="4"/>
      <c r="M14" s="4"/>
      <c r="N14" s="4"/>
    </row>
    <row r="15" customFormat="false" ht="30.75" hidden="false" customHeight="true" outlineLevel="0" collapsed="false">
      <c r="A15" s="7" t="s">
        <v>24</v>
      </c>
      <c r="B15" s="8" t="s">
        <v>5</v>
      </c>
      <c r="C15" s="8" t="s">
        <v>6</v>
      </c>
      <c r="D15" s="9" t="s">
        <v>7</v>
      </c>
      <c r="E15" s="4"/>
      <c r="F15" s="21" t="s">
        <v>25</v>
      </c>
      <c r="G15" s="21"/>
      <c r="H15" s="4"/>
      <c r="I15" s="4"/>
      <c r="J15" s="4"/>
      <c r="K15" s="4"/>
      <c r="L15" s="4"/>
      <c r="M15" s="4"/>
      <c r="N15" s="4"/>
    </row>
    <row r="16" customFormat="false" ht="30.75" hidden="false" customHeight="true" outlineLevel="0" collapsed="false">
      <c r="A16" s="4" t="s">
        <v>26</v>
      </c>
      <c r="B16" s="22" t="n">
        <f aca="false">SUM('Physical Business'!B14:M14)</f>
        <v>10666.1824901839</v>
      </c>
      <c r="C16" s="22" t="n">
        <f aca="false">SUM('Physical Business'!N14:Y14)</f>
        <v>15160.4137959744</v>
      </c>
      <c r="D16" s="22" t="n">
        <f aca="false">SUM('Physical Business'!Z14:AK14)</f>
        <v>15924.8663359729</v>
      </c>
      <c r="E16" s="4"/>
      <c r="F16" s="21" t="s">
        <v>27</v>
      </c>
      <c r="G16" s="21"/>
      <c r="H16" s="4"/>
      <c r="I16" s="4"/>
      <c r="J16" s="4"/>
      <c r="K16" s="4"/>
      <c r="L16" s="4"/>
      <c r="M16" s="4"/>
      <c r="N16" s="4"/>
    </row>
    <row r="17" customFormat="false" ht="30.75" hidden="false" customHeight="true" outlineLevel="0" collapsed="false">
      <c r="A17" s="4" t="s">
        <v>28</v>
      </c>
      <c r="B17" s="22" t="n">
        <f aca="false">SUM('Physical Business'!B15:M15)</f>
        <v>10666.1824901839</v>
      </c>
      <c r="C17" s="22" t="n">
        <f aca="false">SUM('Physical Business'!N15:Y15)</f>
        <v>14093.7955469561</v>
      </c>
      <c r="D17" s="22" t="n">
        <f aca="false">SUM('Physical Business'!Z15:AK15)</f>
        <v>14515.4867812773</v>
      </c>
      <c r="E17" s="4"/>
      <c r="F17" s="21" t="s">
        <v>29</v>
      </c>
      <c r="G17" s="21"/>
      <c r="H17" s="4"/>
      <c r="I17" s="4"/>
      <c r="J17" s="4"/>
      <c r="K17" s="4"/>
      <c r="L17" s="4"/>
      <c r="M17" s="4"/>
      <c r="N17" s="4"/>
    </row>
    <row r="18" customFormat="false" ht="30.75" hidden="false" customHeight="true" outlineLevel="0" collapsed="false">
      <c r="A18" s="4" t="s">
        <v>30</v>
      </c>
      <c r="B18" s="22" t="n">
        <f aca="false">SUM('AI Cohorts'!B15:M15)</f>
        <v>2521.22408131653</v>
      </c>
      <c r="C18" s="22" t="n">
        <f aca="false">SUM('AI Cohorts'!N15:Y15)</f>
        <v>4087.95098326703</v>
      </c>
      <c r="D18" s="22" t="n">
        <f aca="false">SUM('AI Cohorts'!Z15:AK15)</f>
        <v>4665.83439241344</v>
      </c>
      <c r="E18" s="4"/>
      <c r="F18" s="21" t="s">
        <v>31</v>
      </c>
      <c r="G18" s="21"/>
      <c r="H18" s="4"/>
      <c r="I18" s="4"/>
      <c r="J18" s="4"/>
      <c r="K18" s="4"/>
      <c r="L18" s="4"/>
      <c r="M18" s="4"/>
      <c r="N18" s="4"/>
    </row>
    <row r="19" customFormat="false" ht="30.75" hidden="false" customHeight="true" outlineLevel="0" collapsed="false">
      <c r="A19" s="4" t="s">
        <v>32</v>
      </c>
      <c r="B19" s="22" t="n">
        <f aca="false">'AI Cohorts'!M26</f>
        <v>2079.28716695379</v>
      </c>
      <c r="C19" s="22" t="n">
        <f aca="false">'AI Cohorts'!Y26</f>
        <v>3999.93895103302</v>
      </c>
      <c r="D19" s="22" t="n">
        <f aca="false">'AI Cohorts'!AK26</f>
        <v>5152.48091772326</v>
      </c>
      <c r="E19" s="4"/>
      <c r="F19" s="21" t="s">
        <v>33</v>
      </c>
      <c r="G19" s="21"/>
      <c r="H19" s="4"/>
      <c r="I19" s="4"/>
      <c r="J19" s="4"/>
      <c r="K19" s="4"/>
      <c r="L19" s="4"/>
      <c r="M19" s="4"/>
      <c r="N19" s="4"/>
    </row>
    <row r="20" customFormat="false" ht="30.75" hidden="false" customHeight="true" outlineLevel="0" collapsed="false">
      <c r="A20" s="4" t="s">
        <v>34</v>
      </c>
      <c r="B20" s="12" t="n">
        <f aca="false">'AI Cohorts'!M42</f>
        <v>210192.036767505</v>
      </c>
      <c r="C20" s="12" t="n">
        <f aca="false">'AI Cohorts'!Y42</f>
        <v>402225.146338367</v>
      </c>
      <c r="D20" s="12" t="n">
        <f aca="false">'AI Cohorts'!AK42</f>
        <v>516476.965909416</v>
      </c>
      <c r="E20" s="4"/>
      <c r="F20" s="21" t="s">
        <v>35</v>
      </c>
      <c r="G20" s="21"/>
      <c r="H20" s="4"/>
      <c r="I20" s="4"/>
      <c r="J20" s="4"/>
      <c r="K20" s="4"/>
      <c r="L20" s="4"/>
      <c r="M20" s="4"/>
      <c r="N20" s="4"/>
    </row>
    <row r="21" customFormat="false" ht="30.75" hidden="false" customHeight="true" outlineLevel="0" collapsed="false">
      <c r="A21" s="4" t="s">
        <v>36</v>
      </c>
      <c r="B21" s="23" t="n">
        <f aca="false">Assumptions!$F$10</f>
        <v>0.1</v>
      </c>
      <c r="C21" s="23" t="n">
        <f aca="false">Assumptions!$F$10</f>
        <v>0.1</v>
      </c>
      <c r="D21" s="23" t="n">
        <f aca="false">Assumptions!$F$10</f>
        <v>0.1</v>
      </c>
      <c r="E21" s="4"/>
      <c r="F21" s="21" t="s">
        <v>37</v>
      </c>
      <c r="G21" s="21"/>
      <c r="H21" s="4"/>
      <c r="I21" s="4"/>
      <c r="J21" s="4"/>
      <c r="K21" s="4"/>
      <c r="L21" s="4"/>
      <c r="M21" s="4"/>
      <c r="N21" s="4"/>
    </row>
    <row r="22" customFormat="false" ht="30.75" hidden="false" customHeight="true" outlineLevel="0" collapsed="false">
      <c r="A22" s="4" t="s">
        <v>38</v>
      </c>
      <c r="B22" s="23" t="n">
        <f aca="false">Assumptions!$C$69</f>
        <v>0.08</v>
      </c>
      <c r="C22" s="23" t="n">
        <f aca="false">Assumptions!$C$69</f>
        <v>0.08</v>
      </c>
      <c r="D22" s="23" t="n">
        <f aca="false">Assumptions!$C$69</f>
        <v>0.08</v>
      </c>
      <c r="E22" s="4"/>
      <c r="F22" s="21" t="s">
        <v>39</v>
      </c>
      <c r="G22" s="21"/>
      <c r="H22" s="4"/>
      <c r="I22" s="4"/>
      <c r="J22" s="4"/>
      <c r="K22" s="4"/>
      <c r="L22" s="4"/>
      <c r="M22" s="4"/>
      <c r="N22" s="4"/>
    </row>
    <row r="23" customFormat="false" ht="15" hidden="false" customHeight="tru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customFormat="false" ht="1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customFormat="false" ht="15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customFormat="false" ht="15" hidden="false" customHeight="true" outlineLevel="0" collapsed="false">
      <c r="A26" s="17" t="s">
        <v>40</v>
      </c>
      <c r="B26" s="17" t="s">
        <v>41</v>
      </c>
      <c r="C26" s="17" t="s">
        <v>42</v>
      </c>
      <c r="D26" s="17" t="s">
        <v>43</v>
      </c>
      <c r="E26" s="4"/>
      <c r="F26" s="16" t="s">
        <v>40</v>
      </c>
      <c r="G26" s="16" t="s">
        <v>44</v>
      </c>
      <c r="H26" s="4"/>
      <c r="I26" s="4"/>
      <c r="J26" s="4"/>
      <c r="K26" s="4"/>
      <c r="L26" s="4"/>
      <c r="M26" s="4"/>
      <c r="N26" s="4"/>
    </row>
    <row r="27" customFormat="false" ht="15" hidden="false" customHeight="true" outlineLevel="0" collapsed="false">
      <c r="A27" s="12" t="s">
        <v>45</v>
      </c>
      <c r="B27" s="12" t="n">
        <f aca="false">B6</f>
        <v>364117.839685885</v>
      </c>
      <c r="C27" s="12" t="n">
        <f aca="false">B7</f>
        <v>121142.092260661</v>
      </c>
      <c r="D27" s="12" t="n">
        <f aca="false">B10</f>
        <v>9357.9494543194</v>
      </c>
      <c r="E27" s="4"/>
      <c r="F27" s="4" t="s">
        <v>45</v>
      </c>
      <c r="G27" s="12" t="n">
        <f aca="false">'Cash &amp; Funding'!M12</f>
        <v>209357.949454319</v>
      </c>
      <c r="H27" s="4"/>
      <c r="I27" s="4"/>
      <c r="J27" s="4"/>
      <c r="K27" s="4"/>
      <c r="L27" s="4"/>
      <c r="M27" s="4"/>
      <c r="N27" s="4"/>
    </row>
    <row r="28" customFormat="false" ht="15" hidden="false" customHeight="true" outlineLevel="0" collapsed="false">
      <c r="A28" s="12" t="s">
        <v>46</v>
      </c>
      <c r="B28" s="12" t="n">
        <f aca="false">C6</f>
        <v>556333.281471182</v>
      </c>
      <c r="C28" s="12" t="n">
        <f aca="false">C7</f>
        <v>337997.875323911</v>
      </c>
      <c r="D28" s="12" t="n">
        <f aca="false">C10</f>
        <v>163224.571120181</v>
      </c>
      <c r="E28" s="4"/>
      <c r="F28" s="4" t="s">
        <v>46</v>
      </c>
      <c r="G28" s="12" t="n">
        <f aca="false">'Cash &amp; Funding'!Y12</f>
        <v>357582.520574501</v>
      </c>
      <c r="H28" s="4"/>
      <c r="I28" s="4"/>
      <c r="J28" s="4"/>
      <c r="K28" s="4"/>
      <c r="L28" s="4"/>
      <c r="M28" s="4"/>
      <c r="N28" s="4"/>
    </row>
    <row r="29" customFormat="false" ht="15" hidden="false" customHeight="true" outlineLevel="0" collapsed="false">
      <c r="A29" s="12" t="s">
        <v>47</v>
      </c>
      <c r="B29" s="12" t="n">
        <f aca="false">D6</f>
        <v>629195.722751133</v>
      </c>
      <c r="C29" s="12" t="n">
        <f aca="false">D7</f>
        <v>482450.093480191</v>
      </c>
      <c r="D29" s="12" t="n">
        <f aca="false">D10</f>
        <v>272467.487896059</v>
      </c>
      <c r="E29" s="4"/>
      <c r="F29" s="4" t="s">
        <v>47</v>
      </c>
      <c r="G29" s="12" t="n">
        <f aca="false">'Cash &amp; Funding'!AK12</f>
        <v>615050.00847056</v>
      </c>
      <c r="H29" s="4"/>
      <c r="I29" s="4"/>
      <c r="J29" s="4"/>
      <c r="K29" s="4"/>
      <c r="L29" s="4"/>
      <c r="M29" s="4"/>
      <c r="N29" s="4"/>
    </row>
    <row r="30" customFormat="false" ht="1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customFormat="false" ht="15" hidden="false" customHeight="tru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customFormat="false" ht="1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</sheetData>
  <mergeCells count="14">
    <mergeCell ref="A1:N1"/>
    <mergeCell ref="A2:N2"/>
    <mergeCell ref="A4:D4"/>
    <mergeCell ref="F4:G4"/>
    <mergeCell ref="A14:G14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</mergeCells>
  <conditionalFormatting sqref="G8:G10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1.11"/>
    <col collapsed="false" customWidth="true" hidden="false" outlineLevel="0" max="2" min="2" style="1" width="12.78"/>
    <col collapsed="false" customWidth="true" hidden="false" outlineLevel="0" max="6" min="3" style="1" width="11.67"/>
    <col collapsed="false" customWidth="true" hidden="false" outlineLevel="0" max="7" min="7" style="1" width="36.67"/>
    <col collapsed="false" customWidth="true" hidden="false" outlineLevel="0" max="8" min="8" style="1" width="13.34"/>
  </cols>
  <sheetData>
    <row r="1" customFormat="false" ht="25.5" hidden="false" customHeight="true" outlineLevel="0" collapsed="false">
      <c r="A1" s="2" t="s">
        <v>48</v>
      </c>
      <c r="B1" s="2"/>
      <c r="C1" s="2"/>
      <c r="D1" s="2"/>
      <c r="E1" s="2"/>
      <c r="F1" s="2"/>
      <c r="G1" s="2"/>
      <c r="H1" s="2"/>
    </row>
    <row r="2" customFormat="false" ht="24" hidden="false" customHeight="true" outlineLevel="0" collapsed="false">
      <c r="A2" s="3" t="s">
        <v>49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15" hidden="false" customHeight="true" outlineLevel="0" collapsed="false">
      <c r="A4" s="5" t="s">
        <v>50</v>
      </c>
      <c r="B4" s="5"/>
      <c r="C4" s="4"/>
      <c r="D4" s="5" t="s">
        <v>51</v>
      </c>
      <c r="E4" s="5"/>
      <c r="F4" s="4"/>
      <c r="G4" s="4"/>
      <c r="H4" s="4"/>
    </row>
    <row r="5" customFormat="false" ht="15" hidden="false" customHeight="true" outlineLevel="0" collapsed="false">
      <c r="A5" s="4" t="s">
        <v>52</v>
      </c>
      <c r="B5" s="24" t="s">
        <v>53</v>
      </c>
      <c r="C5" s="4"/>
      <c r="D5" s="4" t="s">
        <v>54</v>
      </c>
      <c r="E5" s="24" t="s">
        <v>55</v>
      </c>
      <c r="F5" s="4"/>
      <c r="G5" s="4"/>
      <c r="H5" s="4"/>
    </row>
    <row r="6" customFormat="false" ht="15" hidden="false" customHeight="true" outlineLevel="0" collapsed="false">
      <c r="A6" s="4"/>
      <c r="B6" s="4"/>
      <c r="C6" s="4"/>
      <c r="D6" s="4" t="s">
        <v>56</v>
      </c>
      <c r="E6" s="24" t="s">
        <v>57</v>
      </c>
      <c r="F6" s="4"/>
      <c r="G6" s="4"/>
      <c r="H6" s="4"/>
    </row>
    <row r="7" customFormat="false" ht="17.25" hidden="false" customHeight="true" outlineLevel="0" collapsed="false">
      <c r="A7" s="5" t="s">
        <v>58</v>
      </c>
      <c r="B7" s="5"/>
      <c r="C7" s="5"/>
      <c r="D7" s="5"/>
      <c r="E7" s="5"/>
      <c r="F7" s="5"/>
      <c r="G7" s="5"/>
      <c r="H7" s="5"/>
    </row>
    <row r="8" customFormat="false" ht="15" hidden="false" customHeight="true" outlineLevel="0" collapsed="false">
      <c r="A8" s="7" t="s">
        <v>59</v>
      </c>
      <c r="B8" s="8" t="s">
        <v>60</v>
      </c>
      <c r="C8" s="8" t="s">
        <v>61</v>
      </c>
      <c r="D8" s="8" t="s">
        <v>53</v>
      </c>
      <c r="E8" s="8" t="s">
        <v>62</v>
      </c>
      <c r="F8" s="8" t="s">
        <v>63</v>
      </c>
      <c r="G8" s="8" t="s">
        <v>64</v>
      </c>
      <c r="H8" s="9" t="s">
        <v>65</v>
      </c>
    </row>
    <row r="9" customFormat="false" ht="23.25" hidden="false" customHeight="true" outlineLevel="0" collapsed="false">
      <c r="A9" s="25" t="s">
        <v>66</v>
      </c>
      <c r="B9" s="25" t="s">
        <v>67</v>
      </c>
      <c r="C9" s="26" t="n">
        <v>0.01</v>
      </c>
      <c r="D9" s="26" t="n">
        <v>0.02</v>
      </c>
      <c r="E9" s="26" t="n">
        <v>0.04</v>
      </c>
      <c r="F9" s="27" t="n">
        <f aca="false">IF($B$5="Downside",C9,IF($B$5="Upside",E9,D9))</f>
        <v>0.02</v>
      </c>
      <c r="G9" s="25" t="s">
        <v>68</v>
      </c>
      <c r="H9" s="25" t="s">
        <v>69</v>
      </c>
    </row>
    <row r="10" customFormat="false" ht="23.25" hidden="false" customHeight="true" outlineLevel="0" collapsed="false">
      <c r="A10" s="25" t="s">
        <v>70</v>
      </c>
      <c r="B10" s="25" t="s">
        <v>67</v>
      </c>
      <c r="C10" s="26" t="n">
        <v>0.07</v>
      </c>
      <c r="D10" s="26" t="n">
        <v>0.1</v>
      </c>
      <c r="E10" s="26" t="n">
        <v>0.15</v>
      </c>
      <c r="F10" s="27" t="n">
        <f aca="false">IF($B$5="Downside",C10,IF($B$5="Upside",E10,D10))</f>
        <v>0.1</v>
      </c>
      <c r="G10" s="25" t="s">
        <v>71</v>
      </c>
      <c r="H10" s="25" t="s">
        <v>72</v>
      </c>
    </row>
    <row r="11" customFormat="false" ht="15" hidden="false" customHeight="true" outlineLevel="0" collapsed="false">
      <c r="A11" s="25" t="s">
        <v>73</v>
      </c>
      <c r="B11" s="25" t="s">
        <v>67</v>
      </c>
      <c r="C11" s="26" t="n">
        <v>0.25</v>
      </c>
      <c r="D11" s="26" t="n">
        <v>0.3</v>
      </c>
      <c r="E11" s="26" t="n">
        <v>0.35</v>
      </c>
      <c r="F11" s="27" t="n">
        <f aca="false">IF($B$5="Downside",C11,IF($B$5="Upside",E11,D11))</f>
        <v>0.3</v>
      </c>
      <c r="G11" s="25" t="s">
        <v>74</v>
      </c>
      <c r="H11" s="25" t="s">
        <v>72</v>
      </c>
    </row>
    <row r="12" customFormat="false" ht="15" hidden="false" customHeight="true" outlineLevel="0" collapsed="false">
      <c r="A12" s="25" t="s">
        <v>75</v>
      </c>
      <c r="B12" s="25" t="s">
        <v>67</v>
      </c>
      <c r="C12" s="26" t="n">
        <v>0.1</v>
      </c>
      <c r="D12" s="26" t="n">
        <v>0.08</v>
      </c>
      <c r="E12" s="26" t="n">
        <v>0.05</v>
      </c>
      <c r="F12" s="27" t="n">
        <f aca="false">IF($B$5="Downside",C12,IF($B$5="Upside",E12,D12))</f>
        <v>0.08</v>
      </c>
      <c r="G12" s="25" t="s">
        <v>76</v>
      </c>
      <c r="H12" s="25" t="s">
        <v>72</v>
      </c>
    </row>
    <row r="13" customFormat="false" ht="23.25" hidden="false" customHeight="true" outlineLevel="0" collapsed="false">
      <c r="A13" s="25" t="s">
        <v>77</v>
      </c>
      <c r="B13" s="25" t="s">
        <v>67</v>
      </c>
      <c r="C13" s="26" t="n">
        <v>0.3</v>
      </c>
      <c r="D13" s="26" t="n">
        <v>0.45</v>
      </c>
      <c r="E13" s="26" t="n">
        <v>0.55</v>
      </c>
      <c r="F13" s="27" t="n">
        <f aca="false">IF($B$5="Downside",C13,IF($B$5="Upside",E13,D13))</f>
        <v>0.45</v>
      </c>
      <c r="G13" s="25" t="s">
        <v>78</v>
      </c>
      <c r="H13" s="25" t="s">
        <v>79</v>
      </c>
    </row>
    <row r="14" customFormat="false" ht="23.25" hidden="false" customHeight="true" outlineLevel="0" collapsed="false">
      <c r="A14" s="25" t="s">
        <v>80</v>
      </c>
      <c r="B14" s="25" t="s">
        <v>67</v>
      </c>
      <c r="C14" s="26" t="n">
        <v>0.0893</v>
      </c>
      <c r="D14" s="26" t="n">
        <v>0.1</v>
      </c>
      <c r="E14" s="26" t="n">
        <v>0.15</v>
      </c>
      <c r="F14" s="27" t="n">
        <f aca="false">IF($B$5="Downside",C14,IF($B$5="Upside",E14,D14))</f>
        <v>0.1</v>
      </c>
      <c r="G14" s="25" t="s">
        <v>81</v>
      </c>
      <c r="H14" s="25" t="s">
        <v>72</v>
      </c>
    </row>
    <row r="15" customFormat="false" ht="23.25" hidden="false" customHeight="true" outlineLevel="0" collapsed="false">
      <c r="A15" s="25" t="s">
        <v>82</v>
      </c>
      <c r="B15" s="25" t="s">
        <v>83</v>
      </c>
      <c r="C15" s="28" t="n">
        <v>16</v>
      </c>
      <c r="D15" s="28" t="n">
        <v>11.5</v>
      </c>
      <c r="E15" s="28" t="n">
        <v>9.7</v>
      </c>
      <c r="F15" s="29" t="n">
        <f aca="false">IF($B$5="Downside",C15,IF($B$5="Upside",E15,D15))</f>
        <v>11.5</v>
      </c>
      <c r="G15" s="25" t="s">
        <v>84</v>
      </c>
      <c r="H15" s="25" t="s">
        <v>85</v>
      </c>
    </row>
    <row r="16" customFormat="false" ht="15" hidden="false" customHeight="true" outlineLevel="0" collapsed="false">
      <c r="A16" s="25" t="s">
        <v>86</v>
      </c>
      <c r="B16" s="25" t="s">
        <v>83</v>
      </c>
      <c r="C16" s="28" t="n">
        <v>30</v>
      </c>
      <c r="D16" s="28" t="n">
        <v>22.4</v>
      </c>
      <c r="E16" s="28" t="n">
        <v>15</v>
      </c>
      <c r="F16" s="29" t="n">
        <f aca="false">IF($B$5="Downside",C16,IF($B$5="Upside",E16,D16))</f>
        <v>22.4</v>
      </c>
      <c r="G16" s="25" t="s">
        <v>87</v>
      </c>
      <c r="H16" s="25" t="s">
        <v>88</v>
      </c>
    </row>
    <row r="17" customFormat="false" ht="15" hidden="false" customHeight="true" outlineLevel="0" collapsed="false">
      <c r="A17" s="25" t="s">
        <v>89</v>
      </c>
      <c r="B17" s="25" t="s">
        <v>90</v>
      </c>
      <c r="C17" s="30" t="n">
        <v>80</v>
      </c>
      <c r="D17" s="30" t="n">
        <v>100</v>
      </c>
      <c r="E17" s="30" t="n">
        <v>120</v>
      </c>
      <c r="F17" s="10" t="n">
        <f aca="false">IF($B$5="Downside",C17,IF($B$5="Upside",E17,D17))</f>
        <v>100</v>
      </c>
      <c r="G17" s="25" t="s">
        <v>91</v>
      </c>
      <c r="H17" s="25" t="s">
        <v>79</v>
      </c>
    </row>
    <row r="18" customFormat="false" ht="15" hidden="false" customHeight="true" outlineLevel="0" collapsed="false">
      <c r="A18" s="25" t="s">
        <v>92</v>
      </c>
      <c r="B18" s="25" t="s">
        <v>67</v>
      </c>
      <c r="C18" s="26" t="n">
        <v>0</v>
      </c>
      <c r="D18" s="26" t="n">
        <v>0.01</v>
      </c>
      <c r="E18" s="26" t="n">
        <v>0.02</v>
      </c>
      <c r="F18" s="27" t="n">
        <f aca="false">IF($B$5="Downside",C18,IF($B$5="Upside",E18,D18))</f>
        <v>0.01</v>
      </c>
      <c r="G18" s="25" t="s">
        <v>93</v>
      </c>
      <c r="H18" s="25" t="s">
        <v>79</v>
      </c>
    </row>
    <row r="19" customFormat="false" ht="15" hidden="false" customHeight="true" outlineLevel="0" collapsed="false">
      <c r="A19" s="25" t="s">
        <v>94</v>
      </c>
      <c r="B19" s="25" t="s">
        <v>67</v>
      </c>
      <c r="C19" s="26" t="n">
        <v>0.01</v>
      </c>
      <c r="D19" s="26" t="n">
        <v>0.02</v>
      </c>
      <c r="E19" s="26" t="n">
        <v>0.03</v>
      </c>
      <c r="F19" s="27" t="n">
        <f aca="false">IF($B$5="Downside",C19,IF($B$5="Upside",E19,D19))</f>
        <v>0.02</v>
      </c>
      <c r="G19" s="25" t="s">
        <v>95</v>
      </c>
      <c r="H19" s="25" t="s">
        <v>79</v>
      </c>
    </row>
    <row r="20" customFormat="false" ht="23.25" hidden="false" customHeight="true" outlineLevel="0" collapsed="false">
      <c r="A20" s="25" t="s">
        <v>96</v>
      </c>
      <c r="B20" s="25" t="s">
        <v>97</v>
      </c>
      <c r="C20" s="30" t="n">
        <v>30</v>
      </c>
      <c r="D20" s="30" t="n">
        <v>50</v>
      </c>
      <c r="E20" s="30" t="n">
        <v>80</v>
      </c>
      <c r="F20" s="10" t="n">
        <f aca="false">IF($B$5="Downside",C20,IF($B$5="Upside",E20,D20))</f>
        <v>50</v>
      </c>
      <c r="G20" s="25" t="s">
        <v>98</v>
      </c>
      <c r="H20" s="25" t="s">
        <v>79</v>
      </c>
    </row>
    <row r="21" customFormat="false" ht="15" hidden="false" customHeight="true" outlineLevel="0" collapsed="false">
      <c r="A21" s="25" t="s">
        <v>99</v>
      </c>
      <c r="B21" s="25" t="s">
        <v>100</v>
      </c>
      <c r="C21" s="31" t="n">
        <v>2500</v>
      </c>
      <c r="D21" s="31" t="n">
        <v>4000</v>
      </c>
      <c r="E21" s="31" t="n">
        <v>6000</v>
      </c>
      <c r="F21" s="32" t="n">
        <f aca="false">IF($B$5="Downside",C21,IF($B$5="Upside",E21,D21))</f>
        <v>4000</v>
      </c>
      <c r="G21" s="25" t="s">
        <v>101</v>
      </c>
      <c r="H21" s="25" t="s">
        <v>79</v>
      </c>
    </row>
    <row r="22" customFormat="false" ht="23.25" hidden="false" customHeight="true" outlineLevel="0" collapsed="false">
      <c r="A22" s="25" t="s">
        <v>102</v>
      </c>
      <c r="B22" s="25" t="s">
        <v>100</v>
      </c>
      <c r="C22" s="31" t="n">
        <v>3500</v>
      </c>
      <c r="D22" s="31" t="n">
        <v>6000</v>
      </c>
      <c r="E22" s="31" t="n">
        <v>10000</v>
      </c>
      <c r="F22" s="32" t="n">
        <f aca="false">IF($B$5="Downside",C22,IF($B$5="Upside",E22,D22))</f>
        <v>6000</v>
      </c>
      <c r="G22" s="25" t="s">
        <v>103</v>
      </c>
      <c r="H22" s="25" t="s">
        <v>79</v>
      </c>
    </row>
    <row r="23" customFormat="false" ht="23.25" hidden="false" customHeight="true" outlineLevel="0" collapsed="false">
      <c r="A23" s="25" t="s">
        <v>104</v>
      </c>
      <c r="B23" s="25" t="s">
        <v>100</v>
      </c>
      <c r="C23" s="31" t="n">
        <v>4000</v>
      </c>
      <c r="D23" s="31" t="n">
        <v>6000</v>
      </c>
      <c r="E23" s="31" t="n">
        <v>8000</v>
      </c>
      <c r="F23" s="32" t="n">
        <f aca="false">IF($B$5="Downside",C23,IF($B$5="Upside",E23,D23))</f>
        <v>6000</v>
      </c>
      <c r="G23" s="25" t="s">
        <v>105</v>
      </c>
      <c r="H23" s="25" t="s">
        <v>79</v>
      </c>
    </row>
    <row r="24" customFormat="false" ht="15" hidden="false" customHeight="true" outlineLevel="0" collapsed="false">
      <c r="A24" s="25" t="s">
        <v>106</v>
      </c>
      <c r="B24" s="25" t="s">
        <v>100</v>
      </c>
      <c r="C24" s="31" t="n">
        <v>6000</v>
      </c>
      <c r="D24" s="31" t="n">
        <v>8000</v>
      </c>
      <c r="E24" s="31" t="n">
        <v>10000</v>
      </c>
      <c r="F24" s="32" t="n">
        <f aca="false">IF($B$5="Downside",C24,IF($B$5="Upside",E24,D24))</f>
        <v>8000</v>
      </c>
      <c r="G24" s="25" t="s">
        <v>107</v>
      </c>
      <c r="H24" s="25" t="s">
        <v>79</v>
      </c>
    </row>
    <row r="25" customFormat="false" ht="23.25" hidden="false" customHeight="true" outlineLevel="0" collapsed="false">
      <c r="A25" s="25" t="s">
        <v>108</v>
      </c>
      <c r="B25" s="25" t="s">
        <v>100</v>
      </c>
      <c r="C25" s="31" t="n">
        <v>8000</v>
      </c>
      <c r="D25" s="31" t="n">
        <v>11000</v>
      </c>
      <c r="E25" s="31" t="n">
        <v>13000</v>
      </c>
      <c r="F25" s="32" t="n">
        <f aca="false">IF($B$5="Downside",C25,IF($B$5="Upside",E25,D25))</f>
        <v>11000</v>
      </c>
      <c r="G25" s="25" t="s">
        <v>109</v>
      </c>
      <c r="H25" s="25" t="s">
        <v>79</v>
      </c>
    </row>
    <row r="26" customFormat="false" ht="15" hidden="false" customHeight="true" outlineLevel="0" collapsed="false">
      <c r="A26" s="4"/>
      <c r="B26" s="4"/>
      <c r="C26" s="4"/>
      <c r="D26" s="4"/>
      <c r="E26" s="4"/>
      <c r="F26" s="4"/>
      <c r="G26" s="4"/>
      <c r="H26" s="4"/>
    </row>
    <row r="27" customFormat="false" ht="17.25" hidden="false" customHeight="true" outlineLevel="0" collapsed="false">
      <c r="A27" s="5" t="s">
        <v>110</v>
      </c>
      <c r="B27" s="5"/>
      <c r="C27" s="5"/>
      <c r="D27" s="5"/>
      <c r="E27" s="5"/>
      <c r="F27" s="5"/>
      <c r="G27" s="5"/>
      <c r="H27" s="5"/>
    </row>
    <row r="28" customFormat="false" ht="15" hidden="false" customHeight="true" outlineLevel="0" collapsed="false">
      <c r="A28" s="7" t="s">
        <v>111</v>
      </c>
      <c r="B28" s="8" t="s">
        <v>60</v>
      </c>
      <c r="C28" s="8" t="s">
        <v>112</v>
      </c>
      <c r="D28" s="8" t="s">
        <v>113</v>
      </c>
      <c r="E28" s="8"/>
      <c r="F28" s="8"/>
      <c r="G28" s="8"/>
      <c r="H28" s="9" t="s">
        <v>65</v>
      </c>
    </row>
    <row r="29" customFormat="false" ht="15" hidden="false" customHeight="true" outlineLevel="0" collapsed="false">
      <c r="A29" s="25" t="s">
        <v>114</v>
      </c>
      <c r="B29" s="25" t="s">
        <v>100</v>
      </c>
      <c r="C29" s="33" t="n">
        <v>9</v>
      </c>
      <c r="D29" s="34" t="s">
        <v>115</v>
      </c>
      <c r="E29" s="34"/>
      <c r="F29" s="34"/>
      <c r="G29" s="34"/>
      <c r="H29" s="25" t="s">
        <v>116</v>
      </c>
    </row>
    <row r="30" customFormat="false" ht="15" hidden="false" customHeight="true" outlineLevel="0" collapsed="false">
      <c r="A30" s="25" t="s">
        <v>117</v>
      </c>
      <c r="B30" s="25" t="s">
        <v>118</v>
      </c>
      <c r="C30" s="33" t="n">
        <v>89</v>
      </c>
      <c r="D30" s="34" t="s">
        <v>119</v>
      </c>
      <c r="E30" s="34"/>
      <c r="F30" s="34"/>
      <c r="G30" s="34"/>
      <c r="H30" s="25" t="s">
        <v>116</v>
      </c>
    </row>
    <row r="31" customFormat="false" ht="23.25" hidden="false" customHeight="true" outlineLevel="0" collapsed="false">
      <c r="A31" s="25" t="s">
        <v>120</v>
      </c>
      <c r="B31" s="25" t="s">
        <v>118</v>
      </c>
      <c r="C31" s="33" t="n">
        <v>69</v>
      </c>
      <c r="D31" s="34" t="s">
        <v>121</v>
      </c>
      <c r="E31" s="34"/>
      <c r="F31" s="34"/>
      <c r="G31" s="34"/>
      <c r="H31" s="25" t="s">
        <v>116</v>
      </c>
    </row>
    <row r="32" customFormat="false" ht="15" hidden="false" customHeight="true" outlineLevel="0" collapsed="false">
      <c r="A32" s="25" t="s">
        <v>122</v>
      </c>
      <c r="B32" s="25" t="s">
        <v>67</v>
      </c>
      <c r="C32" s="35" t="n">
        <v>0.22</v>
      </c>
      <c r="D32" s="34" t="s">
        <v>123</v>
      </c>
      <c r="E32" s="34"/>
      <c r="F32" s="34"/>
      <c r="G32" s="34"/>
      <c r="H32" s="25" t="s">
        <v>79</v>
      </c>
    </row>
    <row r="33" customFormat="false" ht="23.25" hidden="false" customHeight="true" outlineLevel="0" collapsed="false">
      <c r="A33" s="25" t="s">
        <v>124</v>
      </c>
      <c r="B33" s="25" t="s">
        <v>125</v>
      </c>
      <c r="C33" s="35" t="n">
        <v>0.15</v>
      </c>
      <c r="D33" s="34" t="s">
        <v>126</v>
      </c>
      <c r="E33" s="34"/>
      <c r="F33" s="34"/>
      <c r="G33" s="34"/>
      <c r="H33" s="25" t="s">
        <v>79</v>
      </c>
    </row>
    <row r="34" customFormat="false" ht="23.25" hidden="false" customHeight="true" outlineLevel="0" collapsed="false">
      <c r="A34" s="25" t="s">
        <v>127</v>
      </c>
      <c r="B34" s="25" t="s">
        <v>100</v>
      </c>
      <c r="C34" s="33" t="n">
        <v>0.95</v>
      </c>
      <c r="D34" s="34" t="s">
        <v>126</v>
      </c>
      <c r="E34" s="34"/>
      <c r="F34" s="34"/>
      <c r="G34" s="34"/>
      <c r="H34" s="25" t="s">
        <v>128</v>
      </c>
    </row>
    <row r="35" customFormat="false" ht="23.25" hidden="false" customHeight="true" outlineLevel="0" collapsed="false">
      <c r="A35" s="25" t="s">
        <v>129</v>
      </c>
      <c r="B35" s="25" t="s">
        <v>100</v>
      </c>
      <c r="C35" s="33" t="n">
        <v>0.3</v>
      </c>
      <c r="D35" s="34" t="s">
        <v>126</v>
      </c>
      <c r="E35" s="34"/>
      <c r="F35" s="34"/>
      <c r="G35" s="34"/>
      <c r="H35" s="25" t="s">
        <v>128</v>
      </c>
    </row>
    <row r="36" customFormat="false" ht="23.25" hidden="false" customHeight="true" outlineLevel="0" collapsed="false">
      <c r="A36" s="25" t="s">
        <v>130</v>
      </c>
      <c r="B36" s="25" t="s">
        <v>131</v>
      </c>
      <c r="C36" s="35" t="n">
        <v>0.03</v>
      </c>
      <c r="D36" s="34" t="s">
        <v>126</v>
      </c>
      <c r="E36" s="34"/>
      <c r="F36" s="34"/>
      <c r="G36" s="34"/>
      <c r="H36" s="25" t="s">
        <v>128</v>
      </c>
    </row>
    <row r="37" customFormat="false" ht="15" hidden="false" customHeight="true" outlineLevel="0" collapsed="false">
      <c r="A37" s="25" t="s">
        <v>132</v>
      </c>
      <c r="B37" s="25" t="s">
        <v>100</v>
      </c>
      <c r="C37" s="29" t="n">
        <f aca="false">C29/(1+C32)*(1-C33)-C34-C35</f>
        <v>5.02049180327869</v>
      </c>
      <c r="D37" s="34" t="s">
        <v>133</v>
      </c>
      <c r="E37" s="34"/>
      <c r="F37" s="34"/>
      <c r="G37" s="34"/>
      <c r="H37" s="25" t="s">
        <v>134</v>
      </c>
    </row>
    <row r="38" customFormat="false" ht="15" hidden="false" customHeight="true" outlineLevel="0" collapsed="false">
      <c r="A38" s="25" t="s">
        <v>135</v>
      </c>
      <c r="B38" s="25" t="s">
        <v>136</v>
      </c>
      <c r="C38" s="29" t="n">
        <f aca="false">C30/(1+C32)*(1-C33-C36)-12*(C34+C35)</f>
        <v>44.8196721311475</v>
      </c>
      <c r="D38" s="34" t="s">
        <v>137</v>
      </c>
      <c r="E38" s="34"/>
      <c r="F38" s="34"/>
      <c r="G38" s="34"/>
      <c r="H38" s="25" t="s">
        <v>134</v>
      </c>
    </row>
    <row r="39" customFormat="false" ht="15" hidden="false" customHeight="true" outlineLevel="0" collapsed="false">
      <c r="A39" s="25" t="s">
        <v>138</v>
      </c>
      <c r="B39" s="25" t="s">
        <v>136</v>
      </c>
      <c r="C39" s="29" t="n">
        <f aca="false">C31/(1+C32)*(1-C33-C36)-12*(C34+C35)</f>
        <v>31.3770491803279</v>
      </c>
      <c r="D39" s="34" t="s">
        <v>137</v>
      </c>
      <c r="E39" s="34"/>
      <c r="F39" s="34"/>
      <c r="G39" s="34"/>
      <c r="H39" s="25" t="s">
        <v>134</v>
      </c>
    </row>
    <row r="40" customFormat="false" ht="23.25" hidden="false" customHeight="true" outlineLevel="0" collapsed="false">
      <c r="A40" s="25" t="s">
        <v>139</v>
      </c>
      <c r="B40" s="25" t="s">
        <v>140</v>
      </c>
      <c r="C40" s="28" t="n">
        <v>32</v>
      </c>
      <c r="D40" s="34" t="s">
        <v>141</v>
      </c>
      <c r="E40" s="34"/>
      <c r="F40" s="34"/>
      <c r="G40" s="34"/>
      <c r="H40" s="25" t="s">
        <v>142</v>
      </c>
    </row>
    <row r="41" customFormat="false" ht="15" hidden="false" customHeight="true" outlineLevel="0" collapsed="false">
      <c r="A41" s="25" t="s">
        <v>143</v>
      </c>
      <c r="B41" s="25" t="s">
        <v>140</v>
      </c>
      <c r="C41" s="28" t="n">
        <v>12</v>
      </c>
      <c r="D41" s="34" t="s">
        <v>144</v>
      </c>
      <c r="E41" s="34"/>
      <c r="F41" s="34"/>
      <c r="G41" s="34"/>
      <c r="H41" s="25" t="s">
        <v>116</v>
      </c>
    </row>
    <row r="42" customFormat="false" ht="15" hidden="false" customHeight="true" outlineLevel="0" collapsed="false">
      <c r="A42" s="25" t="s">
        <v>145</v>
      </c>
      <c r="B42" s="25" t="s">
        <v>146</v>
      </c>
      <c r="C42" s="36" t="n">
        <v>21000</v>
      </c>
      <c r="D42" s="34" t="s">
        <v>147</v>
      </c>
      <c r="E42" s="34"/>
      <c r="F42" s="34"/>
      <c r="G42" s="34"/>
      <c r="H42" s="25" t="s">
        <v>116</v>
      </c>
    </row>
    <row r="43" customFormat="false" ht="15" hidden="false" customHeight="true" outlineLevel="0" collapsed="false">
      <c r="A43" s="25" t="s">
        <v>148</v>
      </c>
      <c r="B43" s="25" t="s">
        <v>146</v>
      </c>
      <c r="C43" s="36" t="n">
        <v>18000</v>
      </c>
      <c r="D43" s="34" t="s">
        <v>147</v>
      </c>
      <c r="E43" s="34"/>
      <c r="F43" s="34"/>
      <c r="G43" s="34"/>
      <c r="H43" s="25" t="s">
        <v>116</v>
      </c>
    </row>
    <row r="44" customFormat="false" ht="15" hidden="false" customHeight="true" outlineLevel="0" collapsed="false">
      <c r="A44" s="25" t="s">
        <v>149</v>
      </c>
      <c r="B44" s="25" t="s">
        <v>150</v>
      </c>
      <c r="C44" s="36" t="n">
        <v>40000</v>
      </c>
      <c r="D44" s="34" t="s">
        <v>151</v>
      </c>
      <c r="E44" s="34"/>
      <c r="F44" s="34"/>
      <c r="G44" s="34"/>
      <c r="H44" s="25" t="s">
        <v>116</v>
      </c>
    </row>
    <row r="45" customFormat="false" ht="15" hidden="false" customHeight="true" outlineLevel="0" collapsed="false">
      <c r="A45" s="25" t="s">
        <v>152</v>
      </c>
      <c r="B45" s="25" t="s">
        <v>118</v>
      </c>
      <c r="C45" s="31" t="n">
        <v>15000</v>
      </c>
      <c r="D45" s="34" t="s">
        <v>153</v>
      </c>
      <c r="E45" s="34"/>
      <c r="F45" s="34"/>
      <c r="G45" s="34"/>
      <c r="H45" s="25" t="s">
        <v>116</v>
      </c>
    </row>
    <row r="46" customFormat="false" ht="23.25" hidden="false" customHeight="true" outlineLevel="0" collapsed="false">
      <c r="A46" s="25" t="s">
        <v>154</v>
      </c>
      <c r="B46" s="25" t="s">
        <v>118</v>
      </c>
      <c r="C46" s="31" t="n">
        <v>0</v>
      </c>
      <c r="D46" s="34" t="s">
        <v>155</v>
      </c>
      <c r="E46" s="34"/>
      <c r="F46" s="34"/>
      <c r="G46" s="34"/>
      <c r="H46" s="25" t="s">
        <v>156</v>
      </c>
    </row>
    <row r="47" customFormat="false" ht="15" hidden="false" customHeight="true" outlineLevel="0" collapsed="false">
      <c r="A47" s="25" t="s">
        <v>157</v>
      </c>
      <c r="B47" s="25" t="s">
        <v>83</v>
      </c>
      <c r="C47" s="31" t="n">
        <v>300000</v>
      </c>
      <c r="D47" s="34" t="s">
        <v>158</v>
      </c>
      <c r="E47" s="34"/>
      <c r="F47" s="34"/>
      <c r="G47" s="34"/>
      <c r="H47" s="25" t="s">
        <v>116</v>
      </c>
    </row>
    <row r="48" customFormat="false" ht="23.25" hidden="false" customHeight="true" outlineLevel="0" collapsed="false">
      <c r="A48" s="25" t="s">
        <v>159</v>
      </c>
      <c r="B48" s="25" t="s">
        <v>83</v>
      </c>
      <c r="C48" s="31" t="n">
        <v>15000</v>
      </c>
      <c r="D48" s="34" t="s">
        <v>160</v>
      </c>
      <c r="E48" s="34"/>
      <c r="F48" s="34"/>
      <c r="G48" s="34"/>
      <c r="H48" s="25" t="s">
        <v>128</v>
      </c>
    </row>
    <row r="49" customFormat="false" ht="23.25" hidden="false" customHeight="true" outlineLevel="0" collapsed="false">
      <c r="A49" s="25" t="s">
        <v>161</v>
      </c>
      <c r="B49" s="25" t="s">
        <v>162</v>
      </c>
      <c r="C49" s="30" t="n">
        <v>4</v>
      </c>
      <c r="D49" s="34" t="s">
        <v>163</v>
      </c>
      <c r="E49" s="34"/>
      <c r="F49" s="34"/>
      <c r="G49" s="34"/>
      <c r="H49" s="25" t="s">
        <v>128</v>
      </c>
    </row>
    <row r="50" customFormat="false" ht="23.25" hidden="false" customHeight="true" outlineLevel="0" collapsed="false">
      <c r="A50" s="25" t="s">
        <v>164</v>
      </c>
      <c r="B50" s="25" t="s">
        <v>162</v>
      </c>
      <c r="C50" s="30" t="n">
        <v>6</v>
      </c>
      <c r="D50" s="34" t="s">
        <v>165</v>
      </c>
      <c r="E50" s="34"/>
      <c r="F50" s="34"/>
      <c r="G50" s="34"/>
      <c r="H50" s="25" t="s">
        <v>128</v>
      </c>
    </row>
    <row r="51" customFormat="false" ht="23.25" hidden="false" customHeight="true" outlineLevel="0" collapsed="false">
      <c r="A51" s="25" t="s">
        <v>166</v>
      </c>
      <c r="B51" s="25" t="s">
        <v>162</v>
      </c>
      <c r="C51" s="30" t="n">
        <v>7</v>
      </c>
      <c r="D51" s="34" t="s">
        <v>167</v>
      </c>
      <c r="E51" s="34"/>
      <c r="F51" s="34"/>
      <c r="G51" s="34"/>
      <c r="H51" s="25" t="s">
        <v>128</v>
      </c>
    </row>
    <row r="52" customFormat="false" ht="15" hidden="false" customHeight="true" outlineLevel="0" collapsed="false">
      <c r="A52" s="25" t="s">
        <v>168</v>
      </c>
      <c r="B52" s="25" t="s">
        <v>169</v>
      </c>
      <c r="C52" s="30" t="n">
        <v>6</v>
      </c>
      <c r="D52" s="34" t="s">
        <v>170</v>
      </c>
      <c r="E52" s="34"/>
      <c r="F52" s="34"/>
      <c r="G52" s="34"/>
      <c r="H52" s="25" t="s">
        <v>79</v>
      </c>
    </row>
    <row r="53" customFormat="false" ht="15" hidden="false" customHeight="true" outlineLevel="0" collapsed="false">
      <c r="A53" s="25" t="s">
        <v>171</v>
      </c>
      <c r="B53" s="25" t="s">
        <v>169</v>
      </c>
      <c r="C53" s="30" t="n">
        <v>12</v>
      </c>
      <c r="D53" s="34" t="s">
        <v>172</v>
      </c>
      <c r="E53" s="34"/>
      <c r="F53" s="34"/>
      <c r="G53" s="34"/>
      <c r="H53" s="25" t="s">
        <v>79</v>
      </c>
    </row>
    <row r="54" customFormat="false" ht="23.25" hidden="false" customHeight="true" outlineLevel="0" collapsed="false">
      <c r="A54" s="25" t="s">
        <v>173</v>
      </c>
      <c r="B54" s="25" t="s">
        <v>174</v>
      </c>
      <c r="C54" s="31" t="n">
        <v>65000</v>
      </c>
      <c r="D54" s="34" t="s">
        <v>175</v>
      </c>
      <c r="E54" s="34"/>
      <c r="F54" s="34"/>
      <c r="G54" s="34"/>
      <c r="H54" s="25" t="s">
        <v>128</v>
      </c>
    </row>
    <row r="55" customFormat="false" ht="23.25" hidden="false" customHeight="true" outlineLevel="0" collapsed="false">
      <c r="A55" s="25" t="s">
        <v>176</v>
      </c>
      <c r="B55" s="25" t="s">
        <v>169</v>
      </c>
      <c r="C55" s="31" t="n">
        <v>6</v>
      </c>
      <c r="D55" s="34" t="s">
        <v>177</v>
      </c>
      <c r="E55" s="34"/>
      <c r="F55" s="34"/>
      <c r="G55" s="34"/>
      <c r="H55" s="25" t="s">
        <v>128</v>
      </c>
    </row>
    <row r="56" customFormat="false" ht="23.25" hidden="false" customHeight="true" outlineLevel="0" collapsed="false">
      <c r="A56" s="25" t="s">
        <v>178</v>
      </c>
      <c r="B56" s="25" t="s">
        <v>174</v>
      </c>
      <c r="C56" s="31" t="n">
        <v>10000</v>
      </c>
      <c r="D56" s="34" t="s">
        <v>179</v>
      </c>
      <c r="E56" s="34"/>
      <c r="F56" s="34"/>
      <c r="G56" s="34"/>
      <c r="H56" s="25" t="s">
        <v>128</v>
      </c>
    </row>
    <row r="57" customFormat="false" ht="23.25" hidden="false" customHeight="true" outlineLevel="0" collapsed="false">
      <c r="A57" s="25" t="s">
        <v>180</v>
      </c>
      <c r="B57" s="25" t="s">
        <v>169</v>
      </c>
      <c r="C57" s="31" t="n">
        <v>6</v>
      </c>
      <c r="D57" s="34" t="s">
        <v>181</v>
      </c>
      <c r="E57" s="34"/>
      <c r="F57" s="34"/>
      <c r="G57" s="34"/>
      <c r="H57" s="25" t="s">
        <v>128</v>
      </c>
    </row>
    <row r="58" customFormat="false" ht="23.25" hidden="false" customHeight="true" outlineLevel="0" collapsed="false">
      <c r="A58" s="25" t="s">
        <v>182</v>
      </c>
      <c r="B58" s="25" t="s">
        <v>174</v>
      </c>
      <c r="C58" s="31" t="n">
        <v>10000</v>
      </c>
      <c r="D58" s="34" t="s">
        <v>183</v>
      </c>
      <c r="E58" s="34"/>
      <c r="F58" s="34"/>
      <c r="G58" s="34"/>
      <c r="H58" s="25" t="s">
        <v>128</v>
      </c>
    </row>
    <row r="59" customFormat="false" ht="23.25" hidden="false" customHeight="true" outlineLevel="0" collapsed="false">
      <c r="A59" s="25" t="s">
        <v>184</v>
      </c>
      <c r="B59" s="25" t="s">
        <v>169</v>
      </c>
      <c r="C59" s="31" t="n">
        <v>6</v>
      </c>
      <c r="D59" s="34" t="s">
        <v>181</v>
      </c>
      <c r="E59" s="34"/>
      <c r="F59" s="34"/>
      <c r="G59" s="34"/>
      <c r="H59" s="25" t="s">
        <v>128</v>
      </c>
    </row>
    <row r="60" customFormat="false" ht="23.25" hidden="false" customHeight="true" outlineLevel="0" collapsed="false">
      <c r="A60" s="25" t="s">
        <v>185</v>
      </c>
      <c r="B60" s="25" t="s">
        <v>100</v>
      </c>
      <c r="C60" s="31" t="n">
        <v>11750</v>
      </c>
      <c r="D60" s="34" t="s">
        <v>186</v>
      </c>
      <c r="E60" s="34"/>
      <c r="F60" s="34"/>
      <c r="G60" s="34"/>
      <c r="H60" s="25" t="s">
        <v>187</v>
      </c>
    </row>
    <row r="61" customFormat="false" ht="23.25" hidden="false" customHeight="true" outlineLevel="0" collapsed="false">
      <c r="A61" s="25" t="s">
        <v>188</v>
      </c>
      <c r="B61" s="25" t="s">
        <v>189</v>
      </c>
      <c r="C61" s="26" t="n">
        <v>0.7446808511</v>
      </c>
      <c r="D61" s="34" t="s">
        <v>190</v>
      </c>
      <c r="E61" s="34"/>
      <c r="F61" s="34"/>
      <c r="G61" s="34"/>
      <c r="H61" s="25" t="s">
        <v>187</v>
      </c>
    </row>
    <row r="62" customFormat="false" ht="23.25" hidden="false" customHeight="true" outlineLevel="0" collapsed="false">
      <c r="A62" s="25" t="s">
        <v>191</v>
      </c>
      <c r="B62" s="25" t="s">
        <v>189</v>
      </c>
      <c r="C62" s="26" t="n">
        <v>1</v>
      </c>
      <c r="D62" s="34" t="s">
        <v>192</v>
      </c>
      <c r="E62" s="34"/>
      <c r="F62" s="34"/>
      <c r="G62" s="34"/>
      <c r="H62" s="25" t="s">
        <v>187</v>
      </c>
    </row>
    <row r="63" customFormat="false" ht="23.25" hidden="false" customHeight="true" outlineLevel="0" collapsed="false">
      <c r="A63" s="25" t="s">
        <v>193</v>
      </c>
      <c r="B63" s="25" t="s">
        <v>189</v>
      </c>
      <c r="C63" s="26" t="n">
        <v>1</v>
      </c>
      <c r="D63" s="34" t="s">
        <v>194</v>
      </c>
      <c r="E63" s="34"/>
      <c r="F63" s="34"/>
      <c r="G63" s="34"/>
      <c r="H63" s="25" t="s">
        <v>187</v>
      </c>
    </row>
    <row r="64" customFormat="false" ht="23.25" hidden="false" customHeight="true" outlineLevel="0" collapsed="false">
      <c r="A64" s="25" t="s">
        <v>195</v>
      </c>
      <c r="B64" s="25" t="s">
        <v>100</v>
      </c>
      <c r="C64" s="30" t="n">
        <v>4000</v>
      </c>
      <c r="D64" s="34" t="s">
        <v>196</v>
      </c>
      <c r="E64" s="34"/>
      <c r="F64" s="34"/>
      <c r="G64" s="34"/>
      <c r="H64" s="25" t="s">
        <v>197</v>
      </c>
    </row>
    <row r="65" customFormat="false" ht="23.25" hidden="false" customHeight="true" outlineLevel="0" collapsed="false">
      <c r="A65" s="25" t="s">
        <v>198</v>
      </c>
      <c r="B65" s="25" t="s">
        <v>100</v>
      </c>
      <c r="C65" s="30" t="n">
        <v>6000</v>
      </c>
      <c r="D65" s="34" t="s">
        <v>199</v>
      </c>
      <c r="E65" s="34"/>
      <c r="F65" s="34"/>
      <c r="G65" s="34"/>
      <c r="H65" s="25" t="s">
        <v>197</v>
      </c>
    </row>
    <row r="66" customFormat="false" ht="15" hidden="false" customHeight="true" outlineLevel="0" collapsed="false">
      <c r="A66" s="25" t="s">
        <v>200</v>
      </c>
      <c r="B66" s="25" t="s">
        <v>83</v>
      </c>
      <c r="C66" s="30" t="n">
        <v>20</v>
      </c>
      <c r="D66" s="34" t="s">
        <v>201</v>
      </c>
      <c r="E66" s="34"/>
      <c r="F66" s="34"/>
      <c r="G66" s="34"/>
      <c r="H66" s="25" t="s">
        <v>202</v>
      </c>
    </row>
    <row r="67" customFormat="false" ht="15" hidden="false" customHeight="true" outlineLevel="0" collapsed="false">
      <c r="A67" s="25" t="s">
        <v>203</v>
      </c>
      <c r="B67" s="25" t="s">
        <v>67</v>
      </c>
      <c r="C67" s="26" t="n">
        <v>0.06</v>
      </c>
      <c r="D67" s="34" t="s">
        <v>204</v>
      </c>
      <c r="E67" s="34"/>
      <c r="F67" s="34"/>
      <c r="G67" s="34"/>
      <c r="H67" s="25" t="s">
        <v>202</v>
      </c>
    </row>
    <row r="68" customFormat="false" ht="15" hidden="false" customHeight="true" outlineLevel="0" collapsed="false">
      <c r="A68" s="25" t="s">
        <v>205</v>
      </c>
      <c r="B68" s="25" t="s">
        <v>83</v>
      </c>
      <c r="C68" s="37" t="n">
        <f aca="false">IF($E$5="Scale",$C$66,$F$16)</f>
        <v>22.4</v>
      </c>
      <c r="D68" s="34" t="s">
        <v>206</v>
      </c>
      <c r="E68" s="34"/>
      <c r="F68" s="34"/>
      <c r="G68" s="34"/>
      <c r="H68" s="25" t="s">
        <v>134</v>
      </c>
    </row>
    <row r="69" customFormat="false" ht="15" hidden="false" customHeight="true" outlineLevel="0" collapsed="false">
      <c r="A69" s="25" t="s">
        <v>207</v>
      </c>
      <c r="B69" s="25" t="s">
        <v>67</v>
      </c>
      <c r="C69" s="27" t="n">
        <f aca="false">IF($E$5="Scale",$C$67,$F$12)</f>
        <v>0.08</v>
      </c>
      <c r="D69" s="34" t="s">
        <v>206</v>
      </c>
      <c r="E69" s="34"/>
      <c r="F69" s="34"/>
      <c r="G69" s="34"/>
      <c r="H69" s="25" t="s">
        <v>134</v>
      </c>
    </row>
    <row r="70" customFormat="false" ht="15" hidden="false" customHeight="true" outlineLevel="0" collapsed="false">
      <c r="A70" s="25" t="s">
        <v>208</v>
      </c>
      <c r="B70" s="25" t="s">
        <v>209</v>
      </c>
      <c r="C70" s="38" t="n">
        <f aca="false">($C$37/$C$69)/$C$68</f>
        <v>2.8016137295082</v>
      </c>
      <c r="D70" s="34" t="s">
        <v>210</v>
      </c>
      <c r="E70" s="34"/>
      <c r="F70" s="34"/>
      <c r="G70" s="34"/>
      <c r="H70" s="25" t="s">
        <v>134</v>
      </c>
    </row>
    <row r="71" customFormat="false" ht="15" hidden="false" customHeight="true" outlineLevel="0" collapsed="false">
      <c r="A71" s="25" t="s">
        <v>211</v>
      </c>
      <c r="B71" s="25" t="s">
        <v>162</v>
      </c>
      <c r="C71" s="30" t="n">
        <v>9</v>
      </c>
      <c r="D71" s="34" t="s">
        <v>212</v>
      </c>
      <c r="E71" s="34"/>
      <c r="F71" s="34"/>
      <c r="G71" s="34"/>
      <c r="H71" s="25" t="s">
        <v>79</v>
      </c>
    </row>
    <row r="72" customFormat="false" ht="15" hidden="false" customHeight="true" outlineLevel="0" collapsed="false">
      <c r="A72" s="25" t="s">
        <v>213</v>
      </c>
      <c r="B72" s="25" t="s">
        <v>162</v>
      </c>
      <c r="C72" s="30" t="n">
        <v>21</v>
      </c>
      <c r="D72" s="34" t="s">
        <v>214</v>
      </c>
      <c r="E72" s="34"/>
      <c r="F72" s="34"/>
      <c r="G72" s="34"/>
      <c r="H72" s="25" t="s">
        <v>79</v>
      </c>
    </row>
    <row r="73" customFormat="false" ht="15" hidden="false" customHeight="true" outlineLevel="0" collapsed="false">
      <c r="A73" s="25" t="s">
        <v>215</v>
      </c>
      <c r="B73" s="25" t="s">
        <v>162</v>
      </c>
      <c r="C73" s="30" t="n">
        <v>33</v>
      </c>
      <c r="D73" s="34" t="s">
        <v>216</v>
      </c>
      <c r="E73" s="34"/>
      <c r="F73" s="34"/>
      <c r="G73" s="34"/>
      <c r="H73" s="25" t="s">
        <v>79</v>
      </c>
    </row>
    <row r="74" customFormat="false" ht="15" hidden="false" customHeight="true" outlineLevel="0" collapsed="false">
      <c r="A74" s="25" t="s">
        <v>217</v>
      </c>
      <c r="B74" s="25" t="s">
        <v>83</v>
      </c>
      <c r="C74" s="30" t="n">
        <v>15000</v>
      </c>
      <c r="D74" s="34" t="s">
        <v>218</v>
      </c>
      <c r="E74" s="34"/>
      <c r="F74" s="34"/>
      <c r="G74" s="34"/>
      <c r="H74" s="25" t="s">
        <v>79</v>
      </c>
    </row>
    <row r="75" customFormat="false" ht="15" hidden="false" customHeight="true" outlineLevel="0" collapsed="false">
      <c r="A75" s="25" t="s">
        <v>219</v>
      </c>
      <c r="B75" s="25" t="s">
        <v>169</v>
      </c>
      <c r="C75" s="30" t="n">
        <v>6</v>
      </c>
      <c r="D75" s="34" t="s">
        <v>220</v>
      </c>
      <c r="E75" s="34"/>
      <c r="F75" s="34"/>
      <c r="G75" s="34"/>
      <c r="H75" s="25" t="s">
        <v>79</v>
      </c>
    </row>
    <row r="76" customFormat="false" ht="23.25" hidden="false" customHeight="true" outlineLevel="0" collapsed="false">
      <c r="A76" s="25" t="s">
        <v>221</v>
      </c>
      <c r="B76" s="25" t="s">
        <v>90</v>
      </c>
      <c r="C76" s="30" t="n">
        <v>100</v>
      </c>
      <c r="D76" s="34" t="s">
        <v>222</v>
      </c>
      <c r="E76" s="34"/>
      <c r="F76" s="34"/>
      <c r="G76" s="34"/>
      <c r="H76" s="25" t="s">
        <v>79</v>
      </c>
    </row>
    <row r="77" customFormat="false" ht="15" hidden="false" customHeight="true" outlineLevel="0" collapsed="false">
      <c r="A77" s="25" t="s">
        <v>223</v>
      </c>
      <c r="B77" s="25" t="s">
        <v>162</v>
      </c>
      <c r="C77" s="30" t="n">
        <v>9</v>
      </c>
      <c r="D77" s="34" t="s">
        <v>224</v>
      </c>
      <c r="E77" s="34"/>
      <c r="F77" s="34"/>
      <c r="G77" s="34"/>
      <c r="H77" s="25" t="s">
        <v>79</v>
      </c>
    </row>
    <row r="78" customFormat="false" ht="15" hidden="false" customHeight="true" outlineLevel="0" collapsed="false">
      <c r="A78" s="25" t="s">
        <v>225</v>
      </c>
      <c r="B78" s="25" t="s">
        <v>100</v>
      </c>
      <c r="C78" s="30" t="n">
        <v>2500</v>
      </c>
      <c r="D78" s="34" t="s">
        <v>226</v>
      </c>
      <c r="E78" s="34"/>
      <c r="F78" s="34"/>
      <c r="G78" s="34"/>
      <c r="H78" s="25" t="s">
        <v>79</v>
      </c>
    </row>
    <row r="79" customFormat="false" ht="15" hidden="false" customHeight="true" outlineLevel="0" collapsed="false">
      <c r="A79" s="25" t="s">
        <v>227</v>
      </c>
      <c r="B79" s="25" t="s">
        <v>100</v>
      </c>
      <c r="C79" s="30" t="n">
        <v>1666.67</v>
      </c>
      <c r="D79" s="34" t="s">
        <v>228</v>
      </c>
      <c r="E79" s="34"/>
      <c r="F79" s="34"/>
      <c r="G79" s="34"/>
      <c r="H79" s="25" t="s">
        <v>79</v>
      </c>
    </row>
    <row r="80" customFormat="false" ht="15" hidden="false" customHeight="true" outlineLevel="0" collapsed="false">
      <c r="A80" s="25" t="s">
        <v>229</v>
      </c>
      <c r="B80" s="25" t="s">
        <v>100</v>
      </c>
      <c r="C80" s="30" t="n">
        <v>2500</v>
      </c>
      <c r="D80" s="34" t="s">
        <v>230</v>
      </c>
      <c r="E80" s="34"/>
      <c r="F80" s="34"/>
      <c r="G80" s="34"/>
      <c r="H80" s="25" t="s">
        <v>79</v>
      </c>
    </row>
    <row r="81" customFormat="false" ht="15" hidden="false" customHeight="true" outlineLevel="0" collapsed="false">
      <c r="A81" s="25" t="s">
        <v>231</v>
      </c>
      <c r="B81" s="25" t="s">
        <v>67</v>
      </c>
      <c r="C81" s="26" t="n">
        <v>0.4</v>
      </c>
      <c r="D81" s="34" t="s">
        <v>232</v>
      </c>
      <c r="E81" s="34"/>
      <c r="F81" s="34"/>
      <c r="G81" s="34"/>
      <c r="H81" s="25" t="s">
        <v>79</v>
      </c>
    </row>
    <row r="82" customFormat="false" ht="15" hidden="false" customHeight="true" outlineLevel="0" collapsed="false">
      <c r="A82" s="25" t="s">
        <v>233</v>
      </c>
      <c r="B82" s="25" t="s">
        <v>100</v>
      </c>
      <c r="C82" s="31" t="n">
        <v>9000</v>
      </c>
      <c r="D82" s="31" t="n">
        <v>12000</v>
      </c>
      <c r="E82" s="31" t="n">
        <v>15000</v>
      </c>
      <c r="F82" s="32" t="n">
        <f aca="false">IF($B$5="Downside",C82,IF($B$5="Upside",E82,D82))</f>
        <v>12000</v>
      </c>
      <c r="G82" s="25" t="s">
        <v>234</v>
      </c>
      <c r="H82" s="25" t="s">
        <v>235</v>
      </c>
    </row>
    <row r="83" customFormat="false" ht="57.45" hidden="false" customHeight="false" outlineLevel="0" collapsed="false">
      <c r="A83" s="25" t="s">
        <v>236</v>
      </c>
      <c r="B83" s="25" t="s">
        <v>146</v>
      </c>
      <c r="C83" s="31" t="n">
        <v>28000</v>
      </c>
      <c r="D83" s="31" t="s">
        <v>237</v>
      </c>
      <c r="E83" s="31"/>
      <c r="F83" s="32"/>
      <c r="G83" s="25"/>
      <c r="H83" s="25" t="s">
        <v>238</v>
      </c>
    </row>
    <row r="84" customFormat="false" ht="46.25" hidden="false" customHeight="false" outlineLevel="0" collapsed="false">
      <c r="A84" s="25" t="s">
        <v>239</v>
      </c>
      <c r="B84" s="25" t="s">
        <v>240</v>
      </c>
      <c r="C84" s="31" t="n">
        <v>7</v>
      </c>
      <c r="D84" s="31" t="s">
        <v>241</v>
      </c>
      <c r="E84" s="31"/>
      <c r="F84" s="32"/>
      <c r="G84" s="25"/>
      <c r="H84" s="25" t="s">
        <v>242</v>
      </c>
    </row>
    <row r="85" customFormat="false" ht="35.05" hidden="false" customHeight="false" outlineLevel="0" collapsed="false">
      <c r="A85" s="25" t="s">
        <v>243</v>
      </c>
      <c r="B85" s="25" t="s">
        <v>174</v>
      </c>
      <c r="C85" s="31" t="n">
        <v>25000</v>
      </c>
      <c r="D85" s="31" t="s">
        <v>244</v>
      </c>
      <c r="E85" s="31"/>
      <c r="F85" s="32"/>
      <c r="G85" s="25"/>
      <c r="H85" s="25" t="s">
        <v>245</v>
      </c>
    </row>
    <row r="86" customFormat="false" ht="46.25" hidden="false" customHeight="false" outlineLevel="0" collapsed="false">
      <c r="A86" s="25" t="s">
        <v>246</v>
      </c>
      <c r="B86" s="25" t="s">
        <v>174</v>
      </c>
      <c r="C86" s="31" t="n">
        <v>17000</v>
      </c>
      <c r="D86" s="31" t="s">
        <v>247</v>
      </c>
      <c r="E86" s="31"/>
      <c r="F86" s="32"/>
      <c r="G86" s="25"/>
      <c r="H86" s="25" t="s">
        <v>245</v>
      </c>
    </row>
    <row r="87" customFormat="false" ht="35.05" hidden="false" customHeight="false" outlineLevel="0" collapsed="false">
      <c r="A87" s="25" t="s">
        <v>248</v>
      </c>
      <c r="B87" s="25" t="s">
        <v>174</v>
      </c>
      <c r="C87" s="31" t="n">
        <v>28000</v>
      </c>
      <c r="D87" s="31" t="s">
        <v>249</v>
      </c>
      <c r="E87" s="31"/>
      <c r="F87" s="32"/>
      <c r="G87" s="25"/>
      <c r="H87" s="25" t="s">
        <v>245</v>
      </c>
    </row>
    <row r="88" customFormat="false" ht="46.25" hidden="false" customHeight="false" outlineLevel="0" collapsed="false">
      <c r="A88" s="25" t="s">
        <v>250</v>
      </c>
      <c r="B88" s="25" t="s">
        <v>100</v>
      </c>
      <c r="C88" s="31" t="n">
        <v>5000</v>
      </c>
      <c r="D88" s="31" t="s">
        <v>251</v>
      </c>
      <c r="E88" s="31"/>
      <c r="F88" s="32"/>
      <c r="G88" s="25"/>
      <c r="H88" s="25" t="s">
        <v>252</v>
      </c>
    </row>
    <row r="89" customFormat="false" ht="57.45" hidden="false" customHeight="false" outlineLevel="0" collapsed="false">
      <c r="A89" s="25" t="s">
        <v>253</v>
      </c>
      <c r="B89" s="25" t="s">
        <v>83</v>
      </c>
      <c r="C89" s="31" t="n">
        <v>15</v>
      </c>
      <c r="D89" s="31" t="s">
        <v>254</v>
      </c>
      <c r="E89" s="31"/>
      <c r="F89" s="32"/>
      <c r="G89" s="25"/>
      <c r="H89" s="25" t="s">
        <v>79</v>
      </c>
    </row>
    <row r="90" customFormat="false" ht="35.05" hidden="false" customHeight="false" outlineLevel="0" collapsed="false">
      <c r="A90" s="25" t="s">
        <v>255</v>
      </c>
      <c r="B90" s="25" t="s">
        <v>83</v>
      </c>
      <c r="C90" s="31" t="n">
        <v>28</v>
      </c>
      <c r="D90" s="31" t="s">
        <v>256</v>
      </c>
      <c r="E90" s="31"/>
      <c r="F90" s="32"/>
      <c r="G90" s="25"/>
      <c r="H90" s="25" t="s">
        <v>79</v>
      </c>
    </row>
    <row r="91" customFormat="false" ht="46.25" hidden="false" customHeight="false" outlineLevel="0" collapsed="false">
      <c r="A91" s="25" t="s">
        <v>257</v>
      </c>
      <c r="B91" s="25" t="s">
        <v>83</v>
      </c>
      <c r="C91" s="31" t="n">
        <v>20</v>
      </c>
      <c r="D91" s="31" t="s">
        <v>258</v>
      </c>
      <c r="E91" s="31"/>
      <c r="F91" s="32"/>
      <c r="G91" s="25"/>
      <c r="H91" s="25" t="s">
        <v>202</v>
      </c>
    </row>
    <row r="92" customFormat="false" ht="68.65" hidden="false" customHeight="false" outlineLevel="0" collapsed="false">
      <c r="A92" s="25" t="s">
        <v>259</v>
      </c>
      <c r="B92" s="25" t="s">
        <v>67</v>
      </c>
      <c r="C92" s="26" t="n">
        <v>0.35</v>
      </c>
      <c r="D92" s="31" t="s">
        <v>260</v>
      </c>
      <c r="E92" s="31"/>
      <c r="F92" s="32"/>
      <c r="G92" s="25"/>
      <c r="H92" s="25" t="s">
        <v>79</v>
      </c>
    </row>
    <row r="93" customFormat="false" ht="68.65" hidden="false" customHeight="false" outlineLevel="0" collapsed="false">
      <c r="A93" s="25" t="s">
        <v>261</v>
      </c>
      <c r="B93" s="25" t="s">
        <v>67</v>
      </c>
      <c r="C93" s="26" t="n">
        <v>0.25</v>
      </c>
      <c r="D93" s="31" t="s">
        <v>260</v>
      </c>
      <c r="E93" s="31"/>
      <c r="F93" s="32"/>
      <c r="G93" s="25"/>
      <c r="H93" s="25" t="s">
        <v>79</v>
      </c>
    </row>
    <row r="94" customFormat="false" ht="57.45" hidden="false" customHeight="false" outlineLevel="0" collapsed="false">
      <c r="A94" s="25" t="s">
        <v>262</v>
      </c>
      <c r="B94" s="25" t="s">
        <v>240</v>
      </c>
      <c r="C94" s="31" t="n">
        <v>30</v>
      </c>
      <c r="D94" s="31" t="s">
        <v>263</v>
      </c>
      <c r="E94" s="31"/>
      <c r="F94" s="32"/>
      <c r="G94" s="25"/>
      <c r="H94" s="25" t="s">
        <v>264</v>
      </c>
    </row>
  </sheetData>
  <autoFilter ref="A8:H25"/>
  <mergeCells count="60">
    <mergeCell ref="A1:H1"/>
    <mergeCell ref="A2:H2"/>
    <mergeCell ref="A4:B4"/>
    <mergeCell ref="D4:E4"/>
    <mergeCell ref="A7:H7"/>
    <mergeCell ref="A27:H27"/>
    <mergeCell ref="D28:G28"/>
    <mergeCell ref="D29:G29"/>
    <mergeCell ref="D30:G30"/>
    <mergeCell ref="D31:G31"/>
    <mergeCell ref="D32:G32"/>
    <mergeCell ref="D33:G33"/>
    <mergeCell ref="D34:G34"/>
    <mergeCell ref="D35:G35"/>
    <mergeCell ref="D36:G36"/>
    <mergeCell ref="D37:G37"/>
    <mergeCell ref="D38:G38"/>
    <mergeCell ref="D39:G39"/>
    <mergeCell ref="D40:G40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D52:G52"/>
    <mergeCell ref="D53:G53"/>
    <mergeCell ref="D54:G54"/>
    <mergeCell ref="D55:G55"/>
    <mergeCell ref="D56:G56"/>
    <mergeCell ref="D57:G57"/>
    <mergeCell ref="D58:G58"/>
    <mergeCell ref="D59:G59"/>
    <mergeCell ref="D60:G60"/>
    <mergeCell ref="D61:G61"/>
    <mergeCell ref="D62:G62"/>
    <mergeCell ref="D63:G63"/>
    <mergeCell ref="D64:G64"/>
    <mergeCell ref="D65:G65"/>
    <mergeCell ref="D66:G66"/>
    <mergeCell ref="D67:G67"/>
    <mergeCell ref="D68:G68"/>
    <mergeCell ref="D69:G69"/>
    <mergeCell ref="D70:G70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</mergeCells>
  <dataValidations count="3">
    <dataValidation allowBlank="false" errorStyle="stop" operator="between" showDropDown="false" showErrorMessage="false" showInputMessage="false" sqref="B5" type="list">
      <formula1>"Downside,Base,Upside"</formula1>
      <formula2>0</formula2>
    </dataValidation>
    <dataValidation allowBlank="false" errorStyle="stop" operator="between" showDropDown="false" showErrorMessage="false" showInputMessage="false" sqref="E5" type="list">
      <formula1>"Test,Scale"</formula1>
      <formula2>0</formula2>
    </dataValidation>
    <dataValidation allowBlank="false" errorStyle="stop" operator="between" showDropDown="false" showErrorMessage="false" showInputMessage="false" sqref="E6" type="list">
      <formula1>"Off,On"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.11"/>
    <col collapsed="false" customWidth="true" hidden="false" outlineLevel="0" max="9" min="2" style="1" width="13.89"/>
    <col collapsed="false" customWidth="true" hidden="false" outlineLevel="0" max="10" min="10" style="1" width="20"/>
  </cols>
  <sheetData>
    <row r="1" customFormat="false" ht="25.5" hidden="false" customHeight="true" outlineLevel="0" collapsed="false">
      <c r="A1" s="2" t="s">
        <v>265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4" hidden="false" customHeight="true" outlineLevel="0" collapsed="false">
      <c r="A2" s="3" t="s">
        <v>266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</row>
    <row r="4" customFormat="false" ht="17.25" hidden="false" customHeight="true" outlineLevel="0" collapsed="false">
      <c r="A4" s="5" t="s">
        <v>267</v>
      </c>
      <c r="B4" s="5"/>
      <c r="C4" s="5"/>
      <c r="D4" s="5"/>
      <c r="E4" s="5"/>
      <c r="F4" s="5"/>
      <c r="G4" s="5"/>
      <c r="H4" s="5"/>
      <c r="I4" s="5"/>
      <c r="J4" s="5"/>
    </row>
    <row r="5" customFormat="false" ht="24.75" hidden="false" customHeight="true" outlineLevel="0" collapsed="false">
      <c r="A5" s="7" t="s">
        <v>268</v>
      </c>
      <c r="B5" s="8" t="s">
        <v>269</v>
      </c>
      <c r="C5" s="8" t="s">
        <v>270</v>
      </c>
      <c r="D5" s="8" t="s">
        <v>271</v>
      </c>
      <c r="E5" s="8" t="s">
        <v>272</v>
      </c>
      <c r="F5" s="8" t="s">
        <v>273</v>
      </c>
      <c r="G5" s="8" t="s">
        <v>274</v>
      </c>
      <c r="H5" s="8" t="s">
        <v>275</v>
      </c>
      <c r="I5" s="8" t="s">
        <v>276</v>
      </c>
      <c r="J5" s="9" t="s">
        <v>277</v>
      </c>
    </row>
    <row r="6" customFormat="false" ht="15" hidden="false" customHeight="true" outlineLevel="0" collapsed="false">
      <c r="A6" s="4" t="s">
        <v>278</v>
      </c>
      <c r="B6" s="12" t="n">
        <v>284492.3168</v>
      </c>
      <c r="C6" s="12" t="n">
        <v>103161.38</v>
      </c>
      <c r="D6" s="12" t="n">
        <v>128076</v>
      </c>
      <c r="E6" s="12" t="n">
        <v>15000</v>
      </c>
      <c r="F6" s="12" t="n">
        <f aca="false">B6-C6-D6-E6</f>
        <v>38254.9368</v>
      </c>
      <c r="G6" s="22" t="n">
        <f aca="false">D6/12</f>
        <v>10673</v>
      </c>
      <c r="H6" s="39" t="n">
        <f aca="false">B6/C6</f>
        <v>2.75774051103233</v>
      </c>
      <c r="I6" s="40" t="n">
        <f aca="false">C6/G6</f>
        <v>9.6656404010119</v>
      </c>
      <c r="J6" s="4" t="s">
        <v>279</v>
      </c>
    </row>
    <row r="7" customFormat="false" ht="15" hidden="false" customHeight="true" outlineLevel="0" collapsed="false">
      <c r="A7" s="4" t="s">
        <v>280</v>
      </c>
      <c r="B7" s="12" t="n">
        <v>291924.1722</v>
      </c>
      <c r="C7" s="12" t="n">
        <v>135964</v>
      </c>
      <c r="D7" s="12" t="n">
        <v>117804</v>
      </c>
      <c r="E7" s="12" t="n">
        <v>15000</v>
      </c>
      <c r="F7" s="12" t="n">
        <f aca="false">B7-C7-D7-E7</f>
        <v>23156.1722</v>
      </c>
      <c r="G7" s="22" t="n">
        <f aca="false">D7/12</f>
        <v>9817</v>
      </c>
      <c r="H7" s="39" t="n">
        <f aca="false">B7/C7</f>
        <v>2.14706960813156</v>
      </c>
      <c r="I7" s="40" t="n">
        <f aca="false">C7/G7</f>
        <v>13.8498522970358</v>
      </c>
      <c r="J7" s="4" t="s">
        <v>279</v>
      </c>
    </row>
    <row r="8" customFormat="false" ht="15" hidden="false" customHeight="true" outlineLevel="0" collapsed="false">
      <c r="A8" s="4" t="s">
        <v>281</v>
      </c>
      <c r="B8" s="12" t="n">
        <v>126066.9444</v>
      </c>
      <c r="C8" s="12" t="n">
        <v>84374</v>
      </c>
      <c r="D8" s="12" t="n">
        <v>41052</v>
      </c>
      <c r="E8" s="12" t="n">
        <v>15000</v>
      </c>
      <c r="F8" s="12" t="n">
        <f aca="false">B8-C8-D8-E8</f>
        <v>-14359.0556</v>
      </c>
      <c r="G8" s="22" t="n">
        <f aca="false">D8/12</f>
        <v>3421</v>
      </c>
      <c r="H8" s="39" t="n">
        <f aca="false">B8/C8</f>
        <v>1.49414445682319</v>
      </c>
      <c r="I8" s="40" t="n">
        <f aca="false">C8/G8</f>
        <v>24.6635486699795</v>
      </c>
      <c r="J8" s="4" t="s">
        <v>279</v>
      </c>
    </row>
    <row r="9" customFormat="false" ht="15" hidden="false" customHeight="true" outlineLevel="0" collapsed="false">
      <c r="A9" s="4" t="s">
        <v>282</v>
      </c>
      <c r="B9" s="12" t="n">
        <v>34032.7963</v>
      </c>
      <c r="C9" s="12" t="n">
        <v>25433</v>
      </c>
      <c r="D9" s="12" t="n">
        <v>11064</v>
      </c>
      <c r="E9" s="12" t="n">
        <v>6904.11</v>
      </c>
      <c r="F9" s="12" t="n">
        <f aca="false">B9-C9-D9-E9</f>
        <v>-9368.3137</v>
      </c>
      <c r="G9" s="22" t="n">
        <f aca="false">D9/12</f>
        <v>922</v>
      </c>
      <c r="H9" s="39" t="n">
        <f aca="false">B9/C9</f>
        <v>1.33813534777651</v>
      </c>
      <c r="I9" s="40" t="n">
        <f aca="false">C9/G9</f>
        <v>27.5845986984816</v>
      </c>
      <c r="J9" s="4" t="s">
        <v>283</v>
      </c>
    </row>
    <row r="10" customFormat="false" ht="15" hidden="false" customHeight="tru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customFormat="false" ht="15" hidden="false" customHeight="tru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customFormat="false" ht="1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</row>
  </sheetData>
  <mergeCells count="3">
    <mergeCell ref="A1:J1"/>
    <mergeCell ref="A2:J2"/>
    <mergeCell ref="A4:J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.11"/>
  </cols>
  <sheetData>
    <row r="1" customFormat="false" ht="25.5" hidden="false" customHeight="true" outlineLevel="0" collapsed="false">
      <c r="A1" s="2" t="s">
        <v>284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customFormat="false" ht="24" hidden="false" customHeight="true" outlineLevel="0" collapsed="false">
      <c r="A2" s="3" t="s">
        <v>285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customFormat="false" ht="1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customFormat="false" ht="15" hidden="false" customHeight="true" outlineLevel="0" collapsed="false">
      <c r="A5" s="41" t="s">
        <v>286</v>
      </c>
      <c r="B5" s="41" t="s">
        <v>287</v>
      </c>
      <c r="C5" s="41" t="s">
        <v>288</v>
      </c>
      <c r="D5" s="41" t="s">
        <v>289</v>
      </c>
      <c r="E5" s="41" t="s">
        <v>290</v>
      </c>
      <c r="F5" s="41" t="s">
        <v>291</v>
      </c>
      <c r="G5" s="41" t="s">
        <v>292</v>
      </c>
      <c r="H5" s="41" t="s">
        <v>293</v>
      </c>
      <c r="I5" s="41" t="s">
        <v>294</v>
      </c>
      <c r="J5" s="41" t="s">
        <v>295</v>
      </c>
      <c r="K5" s="41" t="s">
        <v>296</v>
      </c>
      <c r="L5" s="41" t="s">
        <v>297</v>
      </c>
      <c r="M5" s="41" t="s">
        <v>298</v>
      </c>
      <c r="N5" s="41" t="s">
        <v>299</v>
      </c>
      <c r="O5" s="41" t="s">
        <v>300</v>
      </c>
      <c r="P5" s="41" t="s">
        <v>301</v>
      </c>
      <c r="Q5" s="41" t="s">
        <v>302</v>
      </c>
      <c r="R5" s="41" t="s">
        <v>303</v>
      </c>
      <c r="S5" s="41" t="s">
        <v>304</v>
      </c>
      <c r="T5" s="41" t="s">
        <v>305</v>
      </c>
      <c r="U5" s="41" t="s">
        <v>306</v>
      </c>
      <c r="V5" s="41" t="s">
        <v>307</v>
      </c>
      <c r="W5" s="41" t="s">
        <v>308</v>
      </c>
      <c r="X5" s="41" t="s">
        <v>309</v>
      </c>
      <c r="Y5" s="41" t="s">
        <v>310</v>
      </c>
      <c r="Z5" s="41" t="s">
        <v>311</v>
      </c>
      <c r="AA5" s="41" t="s">
        <v>312</v>
      </c>
      <c r="AB5" s="41" t="s">
        <v>313</v>
      </c>
      <c r="AC5" s="41" t="s">
        <v>314</v>
      </c>
      <c r="AD5" s="41" t="s">
        <v>315</v>
      </c>
      <c r="AE5" s="41" t="s">
        <v>316</v>
      </c>
      <c r="AF5" s="41" t="s">
        <v>317</v>
      </c>
      <c r="AG5" s="41" t="s">
        <v>318</v>
      </c>
      <c r="AH5" s="41" t="s">
        <v>319</v>
      </c>
      <c r="AI5" s="41" t="s">
        <v>320</v>
      </c>
      <c r="AJ5" s="41" t="s">
        <v>321</v>
      </c>
      <c r="AK5" s="41" t="s">
        <v>322</v>
      </c>
    </row>
    <row r="6" customFormat="false" ht="15" hidden="false" customHeight="true" outlineLevel="0" collapsed="false">
      <c r="A6" s="41" t="s">
        <v>40</v>
      </c>
      <c r="B6" s="41" t="s">
        <v>45</v>
      </c>
      <c r="C6" s="41" t="s">
        <v>45</v>
      </c>
      <c r="D6" s="41" t="s">
        <v>45</v>
      </c>
      <c r="E6" s="41" t="s">
        <v>45</v>
      </c>
      <c r="F6" s="41" t="s">
        <v>45</v>
      </c>
      <c r="G6" s="41" t="s">
        <v>45</v>
      </c>
      <c r="H6" s="41" t="s">
        <v>45</v>
      </c>
      <c r="I6" s="41" t="s">
        <v>45</v>
      </c>
      <c r="J6" s="41" t="s">
        <v>45</v>
      </c>
      <c r="K6" s="41" t="s">
        <v>45</v>
      </c>
      <c r="L6" s="41" t="s">
        <v>45</v>
      </c>
      <c r="M6" s="41" t="s">
        <v>45</v>
      </c>
      <c r="N6" s="41" t="s">
        <v>46</v>
      </c>
      <c r="O6" s="41" t="s">
        <v>46</v>
      </c>
      <c r="P6" s="41" t="s">
        <v>46</v>
      </c>
      <c r="Q6" s="41" t="s">
        <v>46</v>
      </c>
      <c r="R6" s="41" t="s">
        <v>46</v>
      </c>
      <c r="S6" s="41" t="s">
        <v>46</v>
      </c>
      <c r="T6" s="41" t="s">
        <v>46</v>
      </c>
      <c r="U6" s="41" t="s">
        <v>46</v>
      </c>
      <c r="V6" s="41" t="s">
        <v>46</v>
      </c>
      <c r="W6" s="41" t="s">
        <v>46</v>
      </c>
      <c r="X6" s="41" t="s">
        <v>46</v>
      </c>
      <c r="Y6" s="41" t="s">
        <v>46</v>
      </c>
      <c r="Z6" s="41" t="s">
        <v>47</v>
      </c>
      <c r="AA6" s="41" t="s">
        <v>47</v>
      </c>
      <c r="AB6" s="41" t="s">
        <v>47</v>
      </c>
      <c r="AC6" s="41" t="s">
        <v>47</v>
      </c>
      <c r="AD6" s="41" t="s">
        <v>47</v>
      </c>
      <c r="AE6" s="41" t="s">
        <v>47</v>
      </c>
      <c r="AF6" s="41" t="s">
        <v>47</v>
      </c>
      <c r="AG6" s="41" t="s">
        <v>47</v>
      </c>
      <c r="AH6" s="41" t="s">
        <v>47</v>
      </c>
      <c r="AI6" s="41" t="s">
        <v>47</v>
      </c>
      <c r="AJ6" s="41" t="s">
        <v>47</v>
      </c>
      <c r="AK6" s="41" t="s">
        <v>47</v>
      </c>
    </row>
    <row r="7" customFormat="false" ht="15" hidden="false" customHeight="true" outlineLevel="0" collapsed="false">
      <c r="A7" s="42" t="s">
        <v>323</v>
      </c>
      <c r="B7" s="42" t="s">
        <v>324</v>
      </c>
      <c r="C7" s="42" t="s">
        <v>324</v>
      </c>
      <c r="D7" s="42" t="s">
        <v>324</v>
      </c>
      <c r="E7" s="42" t="s">
        <v>325</v>
      </c>
      <c r="F7" s="42" t="s">
        <v>325</v>
      </c>
      <c r="G7" s="42" t="s">
        <v>326</v>
      </c>
      <c r="H7" s="42" t="s">
        <v>327</v>
      </c>
      <c r="I7" s="42" t="s">
        <v>327</v>
      </c>
      <c r="J7" s="42" t="s">
        <v>327</v>
      </c>
      <c r="K7" s="42" t="s">
        <v>328</v>
      </c>
      <c r="L7" s="42" t="s">
        <v>328</v>
      </c>
      <c r="M7" s="42" t="s">
        <v>328</v>
      </c>
      <c r="N7" s="42" t="s">
        <v>329</v>
      </c>
      <c r="O7" s="42" t="s">
        <v>329</v>
      </c>
      <c r="P7" s="42" t="s">
        <v>329</v>
      </c>
      <c r="Q7" s="42" t="s">
        <v>329</v>
      </c>
      <c r="R7" s="42" t="s">
        <v>329</v>
      </c>
      <c r="S7" s="42" t="s">
        <v>329</v>
      </c>
      <c r="T7" s="42" t="s">
        <v>329</v>
      </c>
      <c r="U7" s="42" t="s">
        <v>329</v>
      </c>
      <c r="V7" s="42" t="s">
        <v>329</v>
      </c>
      <c r="W7" s="42" t="s">
        <v>329</v>
      </c>
      <c r="X7" s="42" t="s">
        <v>329</v>
      </c>
      <c r="Y7" s="42" t="s">
        <v>329</v>
      </c>
      <c r="Z7" s="42" t="s">
        <v>329</v>
      </c>
      <c r="AA7" s="42" t="s">
        <v>329</v>
      </c>
      <c r="AB7" s="42" t="s">
        <v>329</v>
      </c>
      <c r="AC7" s="42" t="s">
        <v>329</v>
      </c>
      <c r="AD7" s="42" t="s">
        <v>329</v>
      </c>
      <c r="AE7" s="42" t="s">
        <v>329</v>
      </c>
      <c r="AF7" s="42" t="s">
        <v>329</v>
      </c>
      <c r="AG7" s="42" t="s">
        <v>329</v>
      </c>
      <c r="AH7" s="42" t="s">
        <v>329</v>
      </c>
      <c r="AI7" s="42" t="s">
        <v>329</v>
      </c>
      <c r="AJ7" s="42" t="s">
        <v>329</v>
      </c>
      <c r="AK7" s="42" t="s">
        <v>329</v>
      </c>
    </row>
    <row r="8" customFormat="false" ht="15" hidden="false" customHeight="tru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customFormat="false" ht="17.25" hidden="false" customHeight="true" outlineLevel="0" collapsed="false">
      <c r="A9" s="5" t="s">
        <v>330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customFormat="false" ht="15" hidden="false" customHeight="true" outlineLevel="0" collapsed="false">
      <c r="A10" s="4" t="s">
        <v>331</v>
      </c>
      <c r="B10" s="43" t="n">
        <f aca="false">Assumptions!$F$17</f>
        <v>100</v>
      </c>
      <c r="C10" s="43" t="n">
        <f aca="false">B10*(1+IF(2&lt;10,Assumptions!$F$18,Assumptions!$F$19))</f>
        <v>101</v>
      </c>
      <c r="D10" s="43" t="n">
        <f aca="false">C10*(1+IF(3&lt;10,Assumptions!$F$18,Assumptions!$F$19))</f>
        <v>102.01</v>
      </c>
      <c r="E10" s="43" t="n">
        <f aca="false">D10*(1+IF(4&lt;10,Assumptions!$F$18,Assumptions!$F$19))</f>
        <v>103.0301</v>
      </c>
      <c r="F10" s="43" t="n">
        <f aca="false">E10*(1+IF(5&lt;10,Assumptions!$F$18,Assumptions!$F$19))</f>
        <v>104.060401</v>
      </c>
      <c r="G10" s="43" t="n">
        <f aca="false">F10*(1+IF(6&lt;10,Assumptions!$F$18,Assumptions!$F$19))</f>
        <v>105.10100501</v>
      </c>
      <c r="H10" s="43" t="n">
        <f aca="false">G10*(1+IF(7&lt;10,Assumptions!$F$18,Assumptions!$F$19))</f>
        <v>106.1520150601</v>
      </c>
      <c r="I10" s="43" t="n">
        <f aca="false">H10*(1+IF(8&lt;10,Assumptions!$F$18,Assumptions!$F$19))</f>
        <v>107.213535210701</v>
      </c>
      <c r="J10" s="43" t="n">
        <f aca="false">I10*(1+IF(9&lt;10,Assumptions!$F$18,Assumptions!$F$19))</f>
        <v>108.285670562808</v>
      </c>
      <c r="K10" s="43" t="n">
        <f aca="false">J10*(1+IF(10&lt;10,Assumptions!$F$18,Assumptions!$F$19))</f>
        <v>110.451383974064</v>
      </c>
      <c r="L10" s="43" t="n">
        <f aca="false">K10*(1+IF(11&lt;10,Assumptions!$F$18,Assumptions!$F$19))</f>
        <v>112.660411653545</v>
      </c>
      <c r="M10" s="43" t="n">
        <f aca="false">L10*(1+IF(12&lt;10,Assumptions!$F$18,Assumptions!$F$19))</f>
        <v>114.913619886616</v>
      </c>
      <c r="N10" s="43" t="n">
        <f aca="false">M10*(1+IF(13&lt;10,Assumptions!$F$18,Assumptions!$F$19))</f>
        <v>117.211892284349</v>
      </c>
      <c r="O10" s="43" t="n">
        <f aca="false">N10*(1+IF(14&lt;10,Assumptions!$F$18,Assumptions!$F$19))</f>
        <v>119.556130130036</v>
      </c>
      <c r="P10" s="43" t="n">
        <f aca="false">O10*(1+IF(15&lt;10,Assumptions!$F$18,Assumptions!$F$19))</f>
        <v>121.947252732636</v>
      </c>
      <c r="Q10" s="43" t="n">
        <f aca="false">P10*(1+IF(16&lt;10,Assumptions!$F$18,Assumptions!$F$19))</f>
        <v>124.386197787289</v>
      </c>
      <c r="R10" s="43" t="n">
        <f aca="false">Q10*(1+IF(17&lt;10,Assumptions!$F$18,Assumptions!$F$19))</f>
        <v>126.873921743035</v>
      </c>
      <c r="S10" s="43" t="n">
        <f aca="false">R10*(1+IF(18&lt;10,Assumptions!$F$18,Assumptions!$F$19))</f>
        <v>129.411400177896</v>
      </c>
      <c r="T10" s="43" t="n">
        <f aca="false">S10*(1+IF(19&lt;10,Assumptions!$F$18,Assumptions!$F$19))</f>
        <v>131.999628181454</v>
      </c>
      <c r="U10" s="43" t="n">
        <f aca="false">T10*(1+IF(20&lt;10,Assumptions!$F$18,Assumptions!$F$19))</f>
        <v>134.639620745083</v>
      </c>
      <c r="V10" s="43" t="n">
        <f aca="false">U10*(1+IF(21&lt;10,Assumptions!$F$18,Assumptions!$F$19))</f>
        <v>137.332413159984</v>
      </c>
      <c r="W10" s="43" t="n">
        <f aca="false">V10*(1+IF(22&lt;10,Assumptions!$F$18,Assumptions!$F$19))</f>
        <v>140.079061423184</v>
      </c>
      <c r="X10" s="43" t="n">
        <f aca="false">W10*(1+IF(23&lt;10,Assumptions!$F$18,Assumptions!$F$19))</f>
        <v>142.880642651648</v>
      </c>
      <c r="Y10" s="43" t="n">
        <f aca="false">X10*(1+IF(24&lt;10,Assumptions!$F$18,Assumptions!$F$19))</f>
        <v>145.738255504681</v>
      </c>
      <c r="Z10" s="43" t="n">
        <f aca="false">Y10*(1+IF(25&lt;10,Assumptions!$F$18,Assumptions!$F$19))</f>
        <v>148.653020614774</v>
      </c>
      <c r="AA10" s="43" t="n">
        <f aca="false">Z10*(1+IF(26&lt;10,Assumptions!$F$18,Assumptions!$F$19))</f>
        <v>151.62608102707</v>
      </c>
      <c r="AB10" s="43" t="n">
        <f aca="false">AA10*(1+IF(27&lt;10,Assumptions!$F$18,Assumptions!$F$19))</f>
        <v>154.658602647611</v>
      </c>
      <c r="AC10" s="43" t="n">
        <f aca="false">AB10*(1+IF(28&lt;10,Assumptions!$F$18,Assumptions!$F$19))</f>
        <v>157.751774700563</v>
      </c>
      <c r="AD10" s="43" t="n">
        <f aca="false">AC10*(1+IF(29&lt;10,Assumptions!$F$18,Assumptions!$F$19))</f>
        <v>160.906810194575</v>
      </c>
      <c r="AE10" s="43" t="n">
        <f aca="false">AD10*(1+IF(30&lt;10,Assumptions!$F$18,Assumptions!$F$19))</f>
        <v>164.124946398466</v>
      </c>
      <c r="AF10" s="43" t="n">
        <f aca="false">AE10*(1+IF(31&lt;10,Assumptions!$F$18,Assumptions!$F$19))</f>
        <v>167.407445326435</v>
      </c>
      <c r="AG10" s="43" t="n">
        <f aca="false">AF10*(1+IF(32&lt;10,Assumptions!$F$18,Assumptions!$F$19))</f>
        <v>170.755594232964</v>
      </c>
      <c r="AH10" s="43" t="n">
        <f aca="false">AG10*(1+IF(33&lt;10,Assumptions!$F$18,Assumptions!$F$19))</f>
        <v>174.170706117623</v>
      </c>
      <c r="AI10" s="43" t="n">
        <f aca="false">AH10*(1+IF(34&lt;10,Assumptions!$F$18,Assumptions!$F$19))</f>
        <v>177.654120239976</v>
      </c>
      <c r="AJ10" s="43" t="n">
        <f aca="false">AI10*(1+IF(35&lt;10,Assumptions!$F$18,Assumptions!$F$19))</f>
        <v>181.207202644775</v>
      </c>
      <c r="AK10" s="43" t="n">
        <f aca="false">AJ10*(1+IF(36&lt;10,Assumptions!$F$18,Assumptions!$F$19))</f>
        <v>184.831346697671</v>
      </c>
    </row>
    <row r="11" customFormat="false" ht="15" hidden="false" customHeight="true" outlineLevel="0" collapsed="false">
      <c r="A11" s="4" t="s">
        <v>332</v>
      </c>
      <c r="B11" s="44" t="n">
        <f aca="false">IF(1&lt;4,Assumptions!$F$23,IF(1&lt;7,Assumptions!$F$24,IF(1&lt;13,Assumptions!$F$25,Assumptions!$F$82)))</f>
        <v>6000</v>
      </c>
      <c r="C11" s="44" t="n">
        <f aca="false">IF(2&lt;4,Assumptions!$F$23,IF(2&lt;7,Assumptions!$F$24,IF(2&lt;13,Assumptions!$F$25,Assumptions!$F$82)))</f>
        <v>6000</v>
      </c>
      <c r="D11" s="44" t="n">
        <f aca="false">IF(3&lt;4,Assumptions!$F$23,IF(3&lt;7,Assumptions!$F$24,IF(3&lt;13,Assumptions!$F$25,Assumptions!$F$82)))</f>
        <v>6000</v>
      </c>
      <c r="E11" s="44" t="n">
        <f aca="false">IF(4&lt;4,Assumptions!$F$23,IF(4&lt;7,Assumptions!$F$24,IF(4&lt;13,Assumptions!$F$25,Assumptions!$F$82)))</f>
        <v>8000</v>
      </c>
      <c r="F11" s="44" t="n">
        <f aca="false">IF(5&lt;4,Assumptions!$F$23,IF(5&lt;7,Assumptions!$F$24,IF(5&lt;13,Assumptions!$F$25,Assumptions!$F$82)))</f>
        <v>8000</v>
      </c>
      <c r="G11" s="44" t="n">
        <f aca="false">IF(6&lt;4,Assumptions!$F$23,IF(6&lt;7,Assumptions!$F$24,IF(6&lt;13,Assumptions!$F$25,Assumptions!$F$82)))</f>
        <v>8000</v>
      </c>
      <c r="H11" s="44" t="n">
        <f aca="false">IF(7&lt;4,Assumptions!$F$23,IF(7&lt;7,Assumptions!$F$24,IF(7&lt;13,Assumptions!$F$25,Assumptions!$F$82)))</f>
        <v>11000</v>
      </c>
      <c r="I11" s="44" t="n">
        <f aca="false">IF(8&lt;4,Assumptions!$F$23,IF(8&lt;7,Assumptions!$F$24,IF(8&lt;13,Assumptions!$F$25,Assumptions!$F$82)))</f>
        <v>11000</v>
      </c>
      <c r="J11" s="44" t="n">
        <f aca="false">IF(9&lt;4,Assumptions!$F$23,IF(9&lt;7,Assumptions!$F$24,IF(9&lt;13,Assumptions!$F$25,Assumptions!$F$82)))</f>
        <v>11000</v>
      </c>
      <c r="K11" s="44" t="n">
        <f aca="false">IF(10&lt;4,Assumptions!$F$23,IF(10&lt;7,Assumptions!$F$24,IF(10&lt;13,Assumptions!$F$25,Assumptions!$F$82)))</f>
        <v>11000</v>
      </c>
      <c r="L11" s="44" t="n">
        <f aca="false">IF(11&lt;4,Assumptions!$F$23,IF(11&lt;7,Assumptions!$F$24,IF(11&lt;13,Assumptions!$F$25,Assumptions!$F$82)))</f>
        <v>11000</v>
      </c>
      <c r="M11" s="44" t="n">
        <f aca="false">IF(12&lt;4,Assumptions!$F$23,IF(12&lt;7,Assumptions!$F$24,IF(12&lt;13,Assumptions!$F$25,Assumptions!$F$82)))</f>
        <v>11000</v>
      </c>
      <c r="N11" s="44" t="n">
        <f aca="false">IF(13&lt;4,Assumptions!$F$23,IF(13&lt;7,Assumptions!$F$24,IF(13&lt;13,Assumptions!$F$25,Assumptions!$F$82)))</f>
        <v>12000</v>
      </c>
      <c r="O11" s="44" t="n">
        <f aca="false">IF(14&lt;4,Assumptions!$F$23,IF(14&lt;7,Assumptions!$F$24,IF(14&lt;13,Assumptions!$F$25,Assumptions!$F$82)))</f>
        <v>12000</v>
      </c>
      <c r="P11" s="44" t="n">
        <f aca="false">IF(15&lt;4,Assumptions!$F$23,IF(15&lt;7,Assumptions!$F$24,IF(15&lt;13,Assumptions!$F$25,Assumptions!$F$82)))</f>
        <v>12000</v>
      </c>
      <c r="Q11" s="44" t="n">
        <f aca="false">IF(16&lt;4,Assumptions!$F$23,IF(16&lt;7,Assumptions!$F$24,IF(16&lt;13,Assumptions!$F$25,Assumptions!$F$82)))</f>
        <v>12000</v>
      </c>
      <c r="R11" s="44" t="n">
        <f aca="false">IF(17&lt;4,Assumptions!$F$23,IF(17&lt;7,Assumptions!$F$24,IF(17&lt;13,Assumptions!$F$25,Assumptions!$F$82)))</f>
        <v>12000</v>
      </c>
      <c r="S11" s="44" t="n">
        <f aca="false">IF(18&lt;4,Assumptions!$F$23,IF(18&lt;7,Assumptions!$F$24,IF(18&lt;13,Assumptions!$F$25,Assumptions!$F$82)))</f>
        <v>12000</v>
      </c>
      <c r="T11" s="44" t="n">
        <f aca="false">IF(19&lt;4,Assumptions!$F$23,IF(19&lt;7,Assumptions!$F$24,IF(19&lt;13,Assumptions!$F$25,Assumptions!$F$82)))</f>
        <v>12000</v>
      </c>
      <c r="U11" s="44" t="n">
        <f aca="false">IF(20&lt;4,Assumptions!$F$23,IF(20&lt;7,Assumptions!$F$24,IF(20&lt;13,Assumptions!$F$25,Assumptions!$F$82)))</f>
        <v>12000</v>
      </c>
      <c r="V11" s="44" t="n">
        <f aca="false">IF(21&lt;4,Assumptions!$F$23,IF(21&lt;7,Assumptions!$F$24,IF(21&lt;13,Assumptions!$F$25,Assumptions!$F$82)))</f>
        <v>12000</v>
      </c>
      <c r="W11" s="44" t="n">
        <f aca="false">IF(22&lt;4,Assumptions!$F$23,IF(22&lt;7,Assumptions!$F$24,IF(22&lt;13,Assumptions!$F$25,Assumptions!$F$82)))</f>
        <v>12000</v>
      </c>
      <c r="X11" s="44" t="n">
        <f aca="false">IF(23&lt;4,Assumptions!$F$23,IF(23&lt;7,Assumptions!$F$24,IF(23&lt;13,Assumptions!$F$25,Assumptions!$F$82)))</f>
        <v>12000</v>
      </c>
      <c r="Y11" s="44" t="n">
        <f aca="false">IF(24&lt;4,Assumptions!$F$23,IF(24&lt;7,Assumptions!$F$24,IF(24&lt;13,Assumptions!$F$25,Assumptions!$F$82)))</f>
        <v>12000</v>
      </c>
      <c r="Z11" s="44" t="n">
        <f aca="false">IF(25&lt;4,Assumptions!$F$23,IF(25&lt;7,Assumptions!$F$24,IF(25&lt;13,Assumptions!$F$25,Assumptions!$F$82)))</f>
        <v>12000</v>
      </c>
      <c r="AA11" s="44" t="n">
        <f aca="false">IF(26&lt;4,Assumptions!$F$23,IF(26&lt;7,Assumptions!$F$24,IF(26&lt;13,Assumptions!$F$25,Assumptions!$F$82)))</f>
        <v>12000</v>
      </c>
      <c r="AB11" s="44" t="n">
        <f aca="false">IF(27&lt;4,Assumptions!$F$23,IF(27&lt;7,Assumptions!$F$24,IF(27&lt;13,Assumptions!$F$25,Assumptions!$F$82)))</f>
        <v>12000</v>
      </c>
      <c r="AC11" s="44" t="n">
        <f aca="false">IF(28&lt;4,Assumptions!$F$23,IF(28&lt;7,Assumptions!$F$24,IF(28&lt;13,Assumptions!$F$25,Assumptions!$F$82)))</f>
        <v>12000</v>
      </c>
      <c r="AD11" s="44" t="n">
        <f aca="false">IF(29&lt;4,Assumptions!$F$23,IF(29&lt;7,Assumptions!$F$24,IF(29&lt;13,Assumptions!$F$25,Assumptions!$F$82)))</f>
        <v>12000</v>
      </c>
      <c r="AE11" s="44" t="n">
        <f aca="false">IF(30&lt;4,Assumptions!$F$23,IF(30&lt;7,Assumptions!$F$24,IF(30&lt;13,Assumptions!$F$25,Assumptions!$F$82)))</f>
        <v>12000</v>
      </c>
      <c r="AF11" s="44" t="n">
        <f aca="false">IF(31&lt;4,Assumptions!$F$23,IF(31&lt;7,Assumptions!$F$24,IF(31&lt;13,Assumptions!$F$25,Assumptions!$F$82)))</f>
        <v>12000</v>
      </c>
      <c r="AG11" s="44" t="n">
        <f aca="false">IF(32&lt;4,Assumptions!$F$23,IF(32&lt;7,Assumptions!$F$24,IF(32&lt;13,Assumptions!$F$25,Assumptions!$F$82)))</f>
        <v>12000</v>
      </c>
      <c r="AH11" s="44" t="n">
        <f aca="false">IF(33&lt;4,Assumptions!$F$23,IF(33&lt;7,Assumptions!$F$24,IF(33&lt;13,Assumptions!$F$25,Assumptions!$F$82)))</f>
        <v>12000</v>
      </c>
      <c r="AI11" s="44" t="n">
        <f aca="false">IF(34&lt;4,Assumptions!$F$23,IF(34&lt;7,Assumptions!$F$24,IF(34&lt;13,Assumptions!$F$25,Assumptions!$F$82)))</f>
        <v>12000</v>
      </c>
      <c r="AJ11" s="44" t="n">
        <f aca="false">IF(35&lt;4,Assumptions!$F$23,IF(35&lt;7,Assumptions!$F$24,IF(35&lt;13,Assumptions!$F$25,Assumptions!$F$82)))</f>
        <v>12000</v>
      </c>
      <c r="AK11" s="44" t="n">
        <f aca="false">IF(36&lt;4,Assumptions!$F$23,IF(36&lt;7,Assumptions!$F$24,IF(36&lt;13,Assumptions!$F$25,Assumptions!$F$82)))</f>
        <v>12000</v>
      </c>
    </row>
    <row r="12" customFormat="false" ht="15" hidden="false" customHeight="true" outlineLevel="0" collapsed="false">
      <c r="A12" s="4" t="s">
        <v>333</v>
      </c>
      <c r="B12" s="43" t="n">
        <f aca="false">B11/Assumptions!$F$15</f>
        <v>521.739130434783</v>
      </c>
      <c r="C12" s="43" t="n">
        <f aca="false">C11/Assumptions!$F$15</f>
        <v>521.739130434783</v>
      </c>
      <c r="D12" s="43" t="n">
        <f aca="false">D11/Assumptions!$F$15</f>
        <v>521.739130434783</v>
      </c>
      <c r="E12" s="43" t="n">
        <f aca="false">E11/Assumptions!$F$15</f>
        <v>695.652173913044</v>
      </c>
      <c r="F12" s="43" t="n">
        <f aca="false">F11/Assumptions!$F$15</f>
        <v>695.652173913044</v>
      </c>
      <c r="G12" s="43" t="n">
        <f aca="false">G11/Assumptions!$F$15</f>
        <v>695.652173913044</v>
      </c>
      <c r="H12" s="43" t="n">
        <f aca="false">H11/Assumptions!$F$15</f>
        <v>956.521739130435</v>
      </c>
      <c r="I12" s="43" t="n">
        <f aca="false">I11/Assumptions!$F$15</f>
        <v>956.521739130435</v>
      </c>
      <c r="J12" s="43" t="n">
        <f aca="false">J11/Assumptions!$F$15</f>
        <v>956.521739130435</v>
      </c>
      <c r="K12" s="43" t="n">
        <f aca="false">K11/Assumptions!$F$15</f>
        <v>956.521739130435</v>
      </c>
      <c r="L12" s="43" t="n">
        <f aca="false">L11/Assumptions!$F$15</f>
        <v>956.521739130435</v>
      </c>
      <c r="M12" s="43" t="n">
        <f aca="false">M11/Assumptions!$F$15</f>
        <v>956.521739130435</v>
      </c>
      <c r="N12" s="43" t="n">
        <f aca="false">N11/Assumptions!$F$15</f>
        <v>1043.47826086957</v>
      </c>
      <c r="O12" s="43" t="n">
        <f aca="false">O11/Assumptions!$F$15</f>
        <v>1043.47826086957</v>
      </c>
      <c r="P12" s="43" t="n">
        <f aca="false">P11/Assumptions!$F$15</f>
        <v>1043.47826086957</v>
      </c>
      <c r="Q12" s="43" t="n">
        <f aca="false">Q11/Assumptions!$F$15</f>
        <v>1043.47826086957</v>
      </c>
      <c r="R12" s="43" t="n">
        <f aca="false">R11/Assumptions!$F$15</f>
        <v>1043.47826086957</v>
      </c>
      <c r="S12" s="43" t="n">
        <f aca="false">S11/Assumptions!$F$15</f>
        <v>1043.47826086957</v>
      </c>
      <c r="T12" s="43" t="n">
        <f aca="false">T11/Assumptions!$F$15</f>
        <v>1043.47826086957</v>
      </c>
      <c r="U12" s="43" t="n">
        <f aca="false">U11/Assumptions!$F$15</f>
        <v>1043.47826086957</v>
      </c>
      <c r="V12" s="43" t="n">
        <f aca="false">V11/Assumptions!$F$15</f>
        <v>1043.47826086957</v>
      </c>
      <c r="W12" s="43" t="n">
        <f aca="false">W11/Assumptions!$F$15</f>
        <v>1043.47826086957</v>
      </c>
      <c r="X12" s="43" t="n">
        <f aca="false">X11/Assumptions!$F$15</f>
        <v>1043.47826086957</v>
      </c>
      <c r="Y12" s="43" t="n">
        <f aca="false">Y11/Assumptions!$F$15</f>
        <v>1043.47826086957</v>
      </c>
      <c r="Z12" s="43" t="n">
        <f aca="false">Z11/Assumptions!$F$15</f>
        <v>1043.47826086957</v>
      </c>
      <c r="AA12" s="43" t="n">
        <f aca="false">AA11/Assumptions!$F$15</f>
        <v>1043.47826086957</v>
      </c>
      <c r="AB12" s="43" t="n">
        <f aca="false">AB11/Assumptions!$F$15</f>
        <v>1043.47826086957</v>
      </c>
      <c r="AC12" s="43" t="n">
        <f aca="false">AC11/Assumptions!$F$15</f>
        <v>1043.47826086957</v>
      </c>
      <c r="AD12" s="43" t="n">
        <f aca="false">AD11/Assumptions!$F$15</f>
        <v>1043.47826086957</v>
      </c>
      <c r="AE12" s="43" t="n">
        <f aca="false">AE11/Assumptions!$F$15</f>
        <v>1043.47826086957</v>
      </c>
      <c r="AF12" s="43" t="n">
        <f aca="false">AF11/Assumptions!$F$15</f>
        <v>1043.47826086957</v>
      </c>
      <c r="AG12" s="43" t="n">
        <f aca="false">AG11/Assumptions!$F$15</f>
        <v>1043.47826086957</v>
      </c>
      <c r="AH12" s="43" t="n">
        <f aca="false">AH11/Assumptions!$F$15</f>
        <v>1043.47826086957</v>
      </c>
      <c r="AI12" s="43" t="n">
        <f aca="false">AI11/Assumptions!$F$15</f>
        <v>1043.47826086957</v>
      </c>
      <c r="AJ12" s="43" t="n">
        <f aca="false">AJ11/Assumptions!$F$15</f>
        <v>1043.47826086957</v>
      </c>
      <c r="AK12" s="43" t="n">
        <f aca="false">AK11/Assumptions!$F$15</f>
        <v>1043.47826086957</v>
      </c>
    </row>
    <row r="13" customFormat="false" ht="15" hidden="false" customHeight="true" outlineLevel="0" collapsed="false">
      <c r="A13" s="4" t="s">
        <v>334</v>
      </c>
      <c r="B13" s="45" t="n">
        <v>0</v>
      </c>
      <c r="C13" s="45" t="n">
        <v>0</v>
      </c>
      <c r="D13" s="45" t="n">
        <v>0</v>
      </c>
      <c r="E13" s="45" t="n">
        <v>0</v>
      </c>
      <c r="F13" s="45" t="n">
        <v>0</v>
      </c>
      <c r="G13" s="45" t="n">
        <v>0</v>
      </c>
      <c r="H13" s="45" t="n">
        <v>0</v>
      </c>
      <c r="I13" s="45" t="n">
        <v>0</v>
      </c>
      <c r="J13" s="45" t="n">
        <v>0</v>
      </c>
      <c r="K13" s="45" t="n">
        <v>0</v>
      </c>
      <c r="L13" s="45" t="n">
        <v>0</v>
      </c>
      <c r="M13" s="45" t="n">
        <v>0</v>
      </c>
      <c r="N13" s="45" t="n">
        <f aca="false">B15*Assumptions!$F$14</f>
        <v>62.1739130434783</v>
      </c>
      <c r="O13" s="45" t="n">
        <f aca="false">C15*Assumptions!$F$14</f>
        <v>62.2739130434783</v>
      </c>
      <c r="P13" s="45" t="n">
        <f aca="false">D15*Assumptions!$F$14</f>
        <v>62.3749130434783</v>
      </c>
      <c r="Q13" s="45" t="n">
        <f aca="false">E15*Assumptions!$F$14</f>
        <v>79.8682273913043</v>
      </c>
      <c r="R13" s="45" t="n">
        <f aca="false">F15*Assumptions!$F$14</f>
        <v>79.9712574913044</v>
      </c>
      <c r="S13" s="45" t="n">
        <f aca="false">G15*Assumptions!$F$14</f>
        <v>80.0753178923044</v>
      </c>
      <c r="T13" s="45" t="n">
        <f aca="false">H15*Assumptions!$F$14</f>
        <v>106.267375419053</v>
      </c>
      <c r="U13" s="45" t="n">
        <f aca="false">I15*Assumptions!$F$14</f>
        <v>106.373527434114</v>
      </c>
      <c r="V13" s="45" t="n">
        <f aca="false">J15*Assumptions!$F$14</f>
        <v>106.480740969324</v>
      </c>
      <c r="W13" s="45" t="n">
        <f aca="false">K15*Assumptions!$F$14</f>
        <v>106.69731231045</v>
      </c>
      <c r="X13" s="45" t="n">
        <f aca="false">L15*Assumptions!$F$14</f>
        <v>106.918215078398</v>
      </c>
      <c r="Y13" s="45" t="n">
        <f aca="false">M15*Assumptions!$F$14</f>
        <v>107.143535901705</v>
      </c>
      <c r="Z13" s="45" t="n">
        <f aca="false">N15*Assumptions!$F$14</f>
        <v>116.069015315391</v>
      </c>
      <c r="AA13" s="45" t="n">
        <f aca="false">O15*Assumptions!$F$14</f>
        <v>116.30343909996</v>
      </c>
      <c r="AB13" s="45" t="n">
        <f aca="false">P15*Assumptions!$F$14</f>
        <v>116.54255136022</v>
      </c>
      <c r="AC13" s="45" t="n">
        <f aca="false">Q15*Assumptions!$F$14</f>
        <v>116.786445865685</v>
      </c>
      <c r="AD13" s="45" t="n">
        <f aca="false">R15*Assumptions!$F$14</f>
        <v>117.03521826126</v>
      </c>
      <c r="AE13" s="45" t="n">
        <f aca="false">S15*Assumptions!$F$14</f>
        <v>117.288966104746</v>
      </c>
      <c r="AF13" s="45" t="n">
        <f aca="false">T15*Assumptions!$F$14</f>
        <v>117.547788905102</v>
      </c>
      <c r="AG13" s="45" t="n">
        <f aca="false">U15*Assumptions!$F$14</f>
        <v>117.811788161465</v>
      </c>
      <c r="AH13" s="45" t="n">
        <f aca="false">V15*Assumptions!$F$14</f>
        <v>118.081067402955</v>
      </c>
      <c r="AI13" s="45" t="n">
        <f aca="false">W15*Assumptions!$F$14</f>
        <v>118.355732229275</v>
      </c>
      <c r="AJ13" s="45" t="n">
        <f aca="false">X15*Assumptions!$F$14</f>
        <v>118.635890352121</v>
      </c>
      <c r="AK13" s="45" t="n">
        <f aca="false">Y15*Assumptions!$F$14</f>
        <v>118.921651637425</v>
      </c>
    </row>
    <row r="14" customFormat="false" ht="15" hidden="false" customHeight="true" outlineLevel="0" collapsed="false">
      <c r="A14" s="14" t="s">
        <v>335</v>
      </c>
      <c r="B14" s="46" t="n">
        <f aca="false">SUM(B10,B12,B13)</f>
        <v>621.739130434783</v>
      </c>
      <c r="C14" s="46" t="n">
        <f aca="false">SUM(C10,C12,C13)</f>
        <v>622.739130434783</v>
      </c>
      <c r="D14" s="46" t="n">
        <f aca="false">SUM(D10,D12,D13)</f>
        <v>623.749130434783</v>
      </c>
      <c r="E14" s="46" t="n">
        <f aca="false">SUM(E10,E12,E13)</f>
        <v>798.682273913043</v>
      </c>
      <c r="F14" s="46" t="n">
        <f aca="false">SUM(F10,F12,F13)</f>
        <v>799.712574913044</v>
      </c>
      <c r="G14" s="46" t="n">
        <f aca="false">SUM(G10,G12,G13)</f>
        <v>800.753178923044</v>
      </c>
      <c r="H14" s="46" t="n">
        <f aca="false">SUM(H10,H12,H13)</f>
        <v>1062.67375419053</v>
      </c>
      <c r="I14" s="46" t="n">
        <f aca="false">SUM(I10,I12,I13)</f>
        <v>1063.73527434114</v>
      </c>
      <c r="J14" s="46" t="n">
        <f aca="false">SUM(J10,J12,J13)</f>
        <v>1064.80740969324</v>
      </c>
      <c r="K14" s="46" t="n">
        <f aca="false">SUM(K10,K12,K13)</f>
        <v>1066.9731231045</v>
      </c>
      <c r="L14" s="46" t="n">
        <f aca="false">SUM(L10,L12,L13)</f>
        <v>1069.18215078398</v>
      </c>
      <c r="M14" s="46" t="n">
        <f aca="false">SUM(M10,M12,M13)</f>
        <v>1071.43535901705</v>
      </c>
      <c r="N14" s="46" t="n">
        <f aca="false">SUM(N10,N12,N13)</f>
        <v>1222.86406619739</v>
      </c>
      <c r="O14" s="46" t="n">
        <f aca="false">SUM(O10,O12,O13)</f>
        <v>1225.30830404308</v>
      </c>
      <c r="P14" s="46" t="n">
        <f aca="false">SUM(P10,P12,P13)</f>
        <v>1227.80042664568</v>
      </c>
      <c r="Q14" s="46" t="n">
        <f aca="false">SUM(Q10,Q12,Q13)</f>
        <v>1247.73268604816</v>
      </c>
      <c r="R14" s="46" t="n">
        <f aca="false">SUM(R10,R12,R13)</f>
        <v>1250.3234401039</v>
      </c>
      <c r="S14" s="46" t="n">
        <f aca="false">SUM(S10,S12,S13)</f>
        <v>1252.96497893977</v>
      </c>
      <c r="T14" s="46" t="n">
        <f aca="false">SUM(T10,T12,T13)</f>
        <v>1281.74526447007</v>
      </c>
      <c r="U14" s="46" t="n">
        <f aca="false">SUM(U10,U12,U13)</f>
        <v>1284.49140904876</v>
      </c>
      <c r="V14" s="46" t="n">
        <f aca="false">SUM(V10,V12,V13)</f>
        <v>1287.29141499887</v>
      </c>
      <c r="W14" s="46" t="n">
        <f aca="false">SUM(W10,W12,W13)</f>
        <v>1290.2546346032</v>
      </c>
      <c r="X14" s="46" t="n">
        <f aca="false">SUM(X10,X12,X13)</f>
        <v>1293.27711859961</v>
      </c>
      <c r="Y14" s="46" t="n">
        <f aca="false">SUM(Y10,Y12,Y13)</f>
        <v>1296.36005227595</v>
      </c>
      <c r="Z14" s="46" t="n">
        <f aca="false">SUM(Z10,Z12,Z13)</f>
        <v>1308.20029679973</v>
      </c>
      <c r="AA14" s="46" t="n">
        <f aca="false">SUM(AA10,AA12,AA13)</f>
        <v>1311.4077809966</v>
      </c>
      <c r="AB14" s="46" t="n">
        <f aca="false">SUM(AB10,AB12,AB13)</f>
        <v>1314.6794148774</v>
      </c>
      <c r="AC14" s="46" t="n">
        <f aca="false">SUM(AC10,AC12,AC13)</f>
        <v>1318.01648143581</v>
      </c>
      <c r="AD14" s="46" t="n">
        <f aca="false">SUM(AD10,AD12,AD13)</f>
        <v>1321.4202893254</v>
      </c>
      <c r="AE14" s="46" t="n">
        <f aca="false">SUM(AE10,AE12,AE13)</f>
        <v>1324.89217337278</v>
      </c>
      <c r="AF14" s="46" t="n">
        <f aca="false">SUM(AF10,AF12,AF13)</f>
        <v>1328.4334951011</v>
      </c>
      <c r="AG14" s="46" t="n">
        <f aca="false">SUM(AG10,AG12,AG13)</f>
        <v>1332.04564326399</v>
      </c>
      <c r="AH14" s="46" t="n">
        <f aca="false">SUM(AH10,AH12,AH13)</f>
        <v>1335.73003439014</v>
      </c>
      <c r="AI14" s="46" t="n">
        <f aca="false">SUM(AI10,AI12,AI13)</f>
        <v>1339.48811333882</v>
      </c>
      <c r="AJ14" s="46" t="n">
        <f aca="false">SUM(AJ10,AJ12,AJ13)</f>
        <v>1343.32135386646</v>
      </c>
      <c r="AK14" s="46" t="n">
        <f aca="false">SUM(AK10,AK12,AK13)</f>
        <v>1347.23125920466</v>
      </c>
    </row>
    <row r="15" customFormat="false" ht="15" hidden="false" customHeight="true" outlineLevel="0" collapsed="false">
      <c r="A15" s="4" t="s">
        <v>336</v>
      </c>
      <c r="B15" s="45" t="n">
        <f aca="false">SUM(B10,B12)</f>
        <v>621.739130434783</v>
      </c>
      <c r="C15" s="45" t="n">
        <f aca="false">SUM(C10,C12)</f>
        <v>622.739130434783</v>
      </c>
      <c r="D15" s="45" t="n">
        <f aca="false">SUM(D10,D12)</f>
        <v>623.749130434783</v>
      </c>
      <c r="E15" s="45" t="n">
        <f aca="false">SUM(E10,E12)</f>
        <v>798.682273913043</v>
      </c>
      <c r="F15" s="45" t="n">
        <f aca="false">SUM(F10,F12)</f>
        <v>799.712574913044</v>
      </c>
      <c r="G15" s="45" t="n">
        <f aca="false">SUM(G10,G12)</f>
        <v>800.753178923044</v>
      </c>
      <c r="H15" s="45" t="n">
        <f aca="false">SUM(H10,H12)</f>
        <v>1062.67375419053</v>
      </c>
      <c r="I15" s="45" t="n">
        <f aca="false">SUM(I10,I12)</f>
        <v>1063.73527434114</v>
      </c>
      <c r="J15" s="45" t="n">
        <f aca="false">SUM(J10,J12)</f>
        <v>1064.80740969324</v>
      </c>
      <c r="K15" s="45" t="n">
        <f aca="false">SUM(K10,K12)</f>
        <v>1066.9731231045</v>
      </c>
      <c r="L15" s="45" t="n">
        <f aca="false">SUM(L10,L12)</f>
        <v>1069.18215078398</v>
      </c>
      <c r="M15" s="45" t="n">
        <f aca="false">SUM(M10,M12)</f>
        <v>1071.43535901705</v>
      </c>
      <c r="N15" s="45" t="n">
        <f aca="false">SUM(N10,N12)</f>
        <v>1160.69015315391</v>
      </c>
      <c r="O15" s="45" t="n">
        <f aca="false">SUM(O10,O12)</f>
        <v>1163.0343909996</v>
      </c>
      <c r="P15" s="45" t="n">
        <f aca="false">SUM(P10,P12)</f>
        <v>1165.4255136022</v>
      </c>
      <c r="Q15" s="45" t="n">
        <f aca="false">SUM(Q10,Q12)</f>
        <v>1167.86445865685</v>
      </c>
      <c r="R15" s="45" t="n">
        <f aca="false">SUM(R10,R12)</f>
        <v>1170.3521826126</v>
      </c>
      <c r="S15" s="45" t="n">
        <f aca="false">SUM(S10,S12)</f>
        <v>1172.88966104746</v>
      </c>
      <c r="T15" s="45" t="n">
        <f aca="false">SUM(T10,T12)</f>
        <v>1175.47788905102</v>
      </c>
      <c r="U15" s="45" t="n">
        <f aca="false">SUM(U10,U12)</f>
        <v>1178.11788161465</v>
      </c>
      <c r="V15" s="45" t="n">
        <f aca="false">SUM(V10,V12)</f>
        <v>1180.81067402955</v>
      </c>
      <c r="W15" s="45" t="n">
        <f aca="false">SUM(W10,W12)</f>
        <v>1183.55732229275</v>
      </c>
      <c r="X15" s="45" t="n">
        <f aca="false">SUM(X10,X12)</f>
        <v>1186.35890352121</v>
      </c>
      <c r="Y15" s="45" t="n">
        <f aca="false">SUM(Y10,Y12)</f>
        <v>1189.21651637425</v>
      </c>
      <c r="Z15" s="45" t="n">
        <f aca="false">SUM(Z10,Z12)</f>
        <v>1192.13128148434</v>
      </c>
      <c r="AA15" s="45" t="n">
        <f aca="false">SUM(AA10,AA12)</f>
        <v>1195.10434189663</v>
      </c>
      <c r="AB15" s="45" t="n">
        <f aca="false">SUM(AB10,AB12)</f>
        <v>1198.13686351718</v>
      </c>
      <c r="AC15" s="45" t="n">
        <f aca="false">SUM(AC10,AC12)</f>
        <v>1201.23003557013</v>
      </c>
      <c r="AD15" s="45" t="n">
        <f aca="false">SUM(AD10,AD12)</f>
        <v>1204.38507106414</v>
      </c>
      <c r="AE15" s="45" t="n">
        <f aca="false">SUM(AE10,AE12)</f>
        <v>1207.60320726803</v>
      </c>
      <c r="AF15" s="45" t="n">
        <f aca="false">SUM(AF10,AF12)</f>
        <v>1210.885706196</v>
      </c>
      <c r="AG15" s="45" t="n">
        <f aca="false">SUM(AG10,AG12)</f>
        <v>1214.23385510253</v>
      </c>
      <c r="AH15" s="45" t="n">
        <f aca="false">SUM(AH10,AH12)</f>
        <v>1217.64896698719</v>
      </c>
      <c r="AI15" s="45" t="n">
        <f aca="false">SUM(AI10,AI12)</f>
        <v>1221.13238110954</v>
      </c>
      <c r="AJ15" s="45" t="n">
        <f aca="false">SUM(AJ10,AJ12)</f>
        <v>1224.68546351434</v>
      </c>
      <c r="AK15" s="45" t="n">
        <f aca="false">SUM(AK10,AK12)</f>
        <v>1228.30960756724</v>
      </c>
    </row>
    <row r="16" customFormat="false" ht="15" hidden="false" customHeight="true" outlineLevel="0" collapsed="false">
      <c r="A16" s="4" t="s">
        <v>337</v>
      </c>
      <c r="B16" s="43" t="n">
        <f aca="false">Assumptions!$C$42+B15</f>
        <v>21621.7391304348</v>
      </c>
      <c r="C16" s="43" t="n">
        <f aca="false">B16+C15</f>
        <v>22244.4782608696</v>
      </c>
      <c r="D16" s="43" t="n">
        <f aca="false">C16+D15</f>
        <v>22868.2273913044</v>
      </c>
      <c r="E16" s="43" t="n">
        <f aca="false">D16+E15</f>
        <v>23666.9096652174</v>
      </c>
      <c r="F16" s="43" t="n">
        <f aca="false">E16+F15</f>
        <v>24466.6222401304</v>
      </c>
      <c r="G16" s="43" t="n">
        <f aca="false">F16+G15</f>
        <v>25267.3754190535</v>
      </c>
      <c r="H16" s="43" t="n">
        <f aca="false">G16+H15</f>
        <v>26330.049173244</v>
      </c>
      <c r="I16" s="43" t="n">
        <f aca="false">H16+I15</f>
        <v>27393.7844475852</v>
      </c>
      <c r="J16" s="43" t="n">
        <f aca="false">I16+J15</f>
        <v>28458.5918572784</v>
      </c>
      <c r="K16" s="43" t="n">
        <f aca="false">J16+K15</f>
        <v>29525.5649803829</v>
      </c>
      <c r="L16" s="43" t="n">
        <f aca="false">K16+L15</f>
        <v>30594.7471311669</v>
      </c>
      <c r="M16" s="43" t="n">
        <f aca="false">L16+M15</f>
        <v>31666.1824901839</v>
      </c>
      <c r="N16" s="43" t="n">
        <f aca="false">M16+N15</f>
        <v>32826.8726433378</v>
      </c>
      <c r="O16" s="43" t="n">
        <f aca="false">N16+O15</f>
        <v>33989.9070343374</v>
      </c>
      <c r="P16" s="43" t="n">
        <f aca="false">O16+P15</f>
        <v>35155.3325479396</v>
      </c>
      <c r="Q16" s="43" t="n">
        <f aca="false">P16+Q15</f>
        <v>36323.1970065965</v>
      </c>
      <c r="R16" s="43" t="n">
        <f aca="false">Q16+R15</f>
        <v>37493.5491892091</v>
      </c>
      <c r="S16" s="43" t="n">
        <f aca="false">R16+S15</f>
        <v>38666.4388502566</v>
      </c>
      <c r="T16" s="43" t="n">
        <f aca="false">S16+T15</f>
        <v>39841.9167393076</v>
      </c>
      <c r="U16" s="43" t="n">
        <f aca="false">T16+U15</f>
        <v>41020.0346209222</v>
      </c>
      <c r="V16" s="43" t="n">
        <f aca="false">U16+V15</f>
        <v>42200.8452949518</v>
      </c>
      <c r="W16" s="43" t="n">
        <f aca="false">V16+W15</f>
        <v>43384.4026172445</v>
      </c>
      <c r="X16" s="43" t="n">
        <f aca="false">W16+X15</f>
        <v>44570.7615207657</v>
      </c>
      <c r="Y16" s="43" t="n">
        <f aca="false">X16+Y15</f>
        <v>45759.97803714</v>
      </c>
      <c r="Z16" s="43" t="n">
        <f aca="false">Y16+Z15</f>
        <v>46952.1093186243</v>
      </c>
      <c r="AA16" s="43" t="n">
        <f aca="false">Z16+AA15</f>
        <v>48147.213660521</v>
      </c>
      <c r="AB16" s="43" t="n">
        <f aca="false">AA16+AB15</f>
        <v>49345.3505240381</v>
      </c>
      <c r="AC16" s="43" t="n">
        <f aca="false">AB16+AC15</f>
        <v>50546.5805596083</v>
      </c>
      <c r="AD16" s="43" t="n">
        <f aca="false">AC16+AD15</f>
        <v>51750.9656306724</v>
      </c>
      <c r="AE16" s="43" t="n">
        <f aca="false">AD16+AE15</f>
        <v>52958.5688379404</v>
      </c>
      <c r="AF16" s="43" t="n">
        <f aca="false">AE16+AF15</f>
        <v>54169.4545441364</v>
      </c>
      <c r="AG16" s="43" t="n">
        <f aca="false">AF16+AG15</f>
        <v>55383.688399239</v>
      </c>
      <c r="AH16" s="43" t="n">
        <f aca="false">AG16+AH15</f>
        <v>56601.3373662262</v>
      </c>
      <c r="AI16" s="43" t="n">
        <f aca="false">AH16+AI15</f>
        <v>57822.4697473357</v>
      </c>
      <c r="AJ16" s="43" t="n">
        <f aca="false">AI16+AJ15</f>
        <v>59047.1552108501</v>
      </c>
      <c r="AK16" s="43" t="n">
        <f aca="false">AJ16+AK15</f>
        <v>60275.4648184173</v>
      </c>
    </row>
    <row r="17" customFormat="false" ht="15" hidden="false" customHeight="tru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customFormat="false" ht="15" hidden="false" customHeight="true" outlineLevel="0" collapsed="false">
      <c r="A18" s="4" t="s">
        <v>338</v>
      </c>
      <c r="B18" s="44" t="n">
        <f aca="false">B14*Assumptions!$C$40</f>
        <v>19895.652173913</v>
      </c>
      <c r="C18" s="44" t="n">
        <f aca="false">C14*Assumptions!$C$40</f>
        <v>19927.652173913</v>
      </c>
      <c r="D18" s="44" t="n">
        <f aca="false">D14*Assumptions!$C$40</f>
        <v>19959.972173913</v>
      </c>
      <c r="E18" s="44" t="n">
        <f aca="false">E14*Assumptions!$C$40</f>
        <v>25557.8327652174</v>
      </c>
      <c r="F18" s="44" t="n">
        <f aca="false">F14*Assumptions!$C$40</f>
        <v>25590.8023972174</v>
      </c>
      <c r="G18" s="44" t="n">
        <f aca="false">G14*Assumptions!$C$40</f>
        <v>25624.1017255374</v>
      </c>
      <c r="H18" s="44" t="n">
        <f aca="false">H14*Assumptions!$C$40</f>
        <v>34005.5601340971</v>
      </c>
      <c r="I18" s="44" t="n">
        <f aca="false">I14*Assumptions!$C$40</f>
        <v>34039.5287789163</v>
      </c>
      <c r="J18" s="44" t="n">
        <f aca="false">J14*Assumptions!$C$40</f>
        <v>34073.8371101838</v>
      </c>
      <c r="K18" s="44" t="n">
        <f aca="false">K14*Assumptions!$C$40</f>
        <v>34143.139939344</v>
      </c>
      <c r="L18" s="44" t="n">
        <f aca="false">L14*Assumptions!$C$40</f>
        <v>34213.8288250874</v>
      </c>
      <c r="M18" s="44" t="n">
        <f aca="false">M14*Assumptions!$C$40</f>
        <v>34285.9314885456</v>
      </c>
      <c r="N18" s="44" t="n">
        <f aca="false">N14*Assumptions!$C$40</f>
        <v>39131.6501183166</v>
      </c>
      <c r="O18" s="44" t="n">
        <f aca="false">O14*Assumptions!$C$40</f>
        <v>39209.8657293785</v>
      </c>
      <c r="P18" s="44" t="n">
        <f aca="false">P14*Assumptions!$C$40</f>
        <v>39289.6136526618</v>
      </c>
      <c r="Q18" s="44" t="n">
        <f aca="false">Q14*Assumptions!$C$40</f>
        <v>39927.4459535411</v>
      </c>
      <c r="R18" s="44" t="n">
        <f aca="false">R14*Assumptions!$C$40</f>
        <v>40010.3500833249</v>
      </c>
      <c r="S18" s="44" t="n">
        <f aca="false">S14*Assumptions!$C$40</f>
        <v>40094.8793260725</v>
      </c>
      <c r="T18" s="44" t="n">
        <f aca="false">T14*Assumptions!$C$40</f>
        <v>41015.8484630423</v>
      </c>
      <c r="U18" s="44" t="n">
        <f aca="false">U14*Assumptions!$C$40</f>
        <v>41103.7250895604</v>
      </c>
      <c r="V18" s="44" t="n">
        <f aca="false">V14*Assumptions!$C$40</f>
        <v>41193.325279964</v>
      </c>
      <c r="W18" s="44" t="n">
        <f aca="false">W14*Assumptions!$C$40</f>
        <v>41288.1483073024</v>
      </c>
      <c r="X18" s="44" t="n">
        <f aca="false">X14*Assumptions!$C$40</f>
        <v>41384.8677951875</v>
      </c>
      <c r="Y18" s="44" t="n">
        <f aca="false">Y14*Assumptions!$C$40</f>
        <v>41483.5216728304</v>
      </c>
      <c r="Z18" s="44" t="n">
        <f aca="false">Z14*Assumptions!$C$40</f>
        <v>41862.4094975914</v>
      </c>
      <c r="AA18" s="44" t="n">
        <f aca="false">AA14*Assumptions!$C$40</f>
        <v>41965.048991891</v>
      </c>
      <c r="AB18" s="44" t="n">
        <f aca="false">AB14*Assumptions!$C$40</f>
        <v>42069.7412760767</v>
      </c>
      <c r="AC18" s="44" t="n">
        <f aca="false">AC14*Assumptions!$C$40</f>
        <v>42176.527405946</v>
      </c>
      <c r="AD18" s="44" t="n">
        <f aca="false">AD14*Assumptions!$C$40</f>
        <v>42285.4492584128</v>
      </c>
      <c r="AE18" s="44" t="n">
        <f aca="false">AE14*Assumptions!$C$40</f>
        <v>42396.5495479289</v>
      </c>
      <c r="AF18" s="44" t="n">
        <f aca="false">AF14*Assumptions!$C$40</f>
        <v>42509.8718432353</v>
      </c>
      <c r="AG18" s="44" t="n">
        <f aca="false">AG14*Assumptions!$C$40</f>
        <v>42625.4605844478</v>
      </c>
      <c r="AH18" s="44" t="n">
        <f aca="false">AH14*Assumptions!$C$40</f>
        <v>42743.3611004846</v>
      </c>
      <c r="AI18" s="44" t="n">
        <f aca="false">AI14*Assumptions!$C$40</f>
        <v>42863.6196268421</v>
      </c>
      <c r="AJ18" s="44" t="n">
        <f aca="false">AJ14*Assumptions!$C$40</f>
        <v>42986.2833237268</v>
      </c>
      <c r="AK18" s="44" t="n">
        <f aca="false">AK14*Assumptions!$C$40</f>
        <v>43111.4002945491</v>
      </c>
    </row>
    <row r="19" customFormat="false" ht="15" hidden="false" customHeight="true" outlineLevel="0" collapsed="false">
      <c r="A19" s="4" t="s">
        <v>339</v>
      </c>
      <c r="B19" s="44" t="n">
        <f aca="false">-B14*Assumptions!$C$41</f>
        <v>-7460.86956521739</v>
      </c>
      <c r="C19" s="44" t="n">
        <f aca="false">-C14*Assumptions!$C$41</f>
        <v>-7472.86956521739</v>
      </c>
      <c r="D19" s="44" t="n">
        <f aca="false">-D14*Assumptions!$C$41</f>
        <v>-7484.98956521739</v>
      </c>
      <c r="E19" s="44" t="n">
        <f aca="false">-E14*Assumptions!$C$41</f>
        <v>-9584.18728695652</v>
      </c>
      <c r="F19" s="44" t="n">
        <f aca="false">-F14*Assumptions!$C$41</f>
        <v>-9596.55089895652</v>
      </c>
      <c r="G19" s="44" t="n">
        <f aca="false">-G14*Assumptions!$C$41</f>
        <v>-9609.03814707652</v>
      </c>
      <c r="H19" s="44" t="n">
        <f aca="false">-H14*Assumptions!$C$41</f>
        <v>-12752.0850502864</v>
      </c>
      <c r="I19" s="44" t="n">
        <f aca="false">-I14*Assumptions!$C$41</f>
        <v>-12764.8232920936</v>
      </c>
      <c r="J19" s="44" t="n">
        <f aca="false">-J14*Assumptions!$C$41</f>
        <v>-12777.6889163189</v>
      </c>
      <c r="K19" s="44" t="n">
        <f aca="false">-K14*Assumptions!$C$41</f>
        <v>-12803.677477254</v>
      </c>
      <c r="L19" s="44" t="n">
        <f aca="false">-L14*Assumptions!$C$41</f>
        <v>-12830.1858094078</v>
      </c>
      <c r="M19" s="44" t="n">
        <f aca="false">-M14*Assumptions!$C$41</f>
        <v>-12857.2243082046</v>
      </c>
      <c r="N19" s="44" t="n">
        <f aca="false">-N14*Assumptions!$C$41</f>
        <v>-14674.3687943687</v>
      </c>
      <c r="O19" s="44" t="n">
        <f aca="false">-O14*Assumptions!$C$41</f>
        <v>-14703.699648517</v>
      </c>
      <c r="P19" s="44" t="n">
        <f aca="false">-P14*Assumptions!$C$41</f>
        <v>-14733.6051197482</v>
      </c>
      <c r="Q19" s="44" t="n">
        <f aca="false">-Q14*Assumptions!$C$41</f>
        <v>-14972.7922325779</v>
      </c>
      <c r="R19" s="44" t="n">
        <f aca="false">-R14*Assumptions!$C$41</f>
        <v>-15003.8812812469</v>
      </c>
      <c r="S19" s="44" t="n">
        <f aca="false">-S14*Assumptions!$C$41</f>
        <v>-15035.5797472772</v>
      </c>
      <c r="T19" s="44" t="n">
        <f aca="false">-T14*Assumptions!$C$41</f>
        <v>-15380.9431736409</v>
      </c>
      <c r="U19" s="44" t="n">
        <f aca="false">-U14*Assumptions!$C$41</f>
        <v>-15413.8969085851</v>
      </c>
      <c r="V19" s="44" t="n">
        <f aca="false">-V14*Assumptions!$C$41</f>
        <v>-15447.4969799865</v>
      </c>
      <c r="W19" s="44" t="n">
        <f aca="false">-W14*Assumptions!$C$41</f>
        <v>-15483.0556152384</v>
      </c>
      <c r="X19" s="44" t="n">
        <f aca="false">-X14*Assumptions!$C$41</f>
        <v>-15519.3254231953</v>
      </c>
      <c r="Y19" s="44" t="n">
        <f aca="false">-Y14*Assumptions!$C$41</f>
        <v>-15556.3206273114</v>
      </c>
      <c r="Z19" s="44" t="n">
        <f aca="false">-Z14*Assumptions!$C$41</f>
        <v>-15698.4035615968</v>
      </c>
      <c r="AA19" s="44" t="n">
        <f aca="false">-AA14*Assumptions!$C$41</f>
        <v>-15736.8933719591</v>
      </c>
      <c r="AB19" s="44" t="n">
        <f aca="false">-AB14*Assumptions!$C$41</f>
        <v>-15776.1529785288</v>
      </c>
      <c r="AC19" s="44" t="n">
        <f aca="false">-AC14*Assumptions!$C$41</f>
        <v>-15816.1977772298</v>
      </c>
      <c r="AD19" s="44" t="n">
        <f aca="false">-AD14*Assumptions!$C$41</f>
        <v>-15857.0434719048</v>
      </c>
      <c r="AE19" s="44" t="n">
        <f aca="false">-AE14*Assumptions!$C$41</f>
        <v>-15898.7060804733</v>
      </c>
      <c r="AF19" s="44" t="n">
        <f aca="false">-AF14*Assumptions!$C$41</f>
        <v>-15941.2019412132</v>
      </c>
      <c r="AG19" s="44" t="n">
        <f aca="false">-AG14*Assumptions!$C$41</f>
        <v>-15984.5477191679</v>
      </c>
      <c r="AH19" s="44" t="n">
        <f aca="false">-AH14*Assumptions!$C$41</f>
        <v>-16028.7604126817</v>
      </c>
      <c r="AI19" s="44" t="n">
        <f aca="false">-AI14*Assumptions!$C$41</f>
        <v>-16073.8573600658</v>
      </c>
      <c r="AJ19" s="44" t="n">
        <f aca="false">-AJ14*Assumptions!$C$41</f>
        <v>-16119.8562463975</v>
      </c>
      <c r="AK19" s="44" t="n">
        <f aca="false">-AK14*Assumptions!$C$41</f>
        <v>-16166.7751104559</v>
      </c>
    </row>
    <row r="20" customFormat="false" ht="15" hidden="false" customHeight="true" outlineLevel="0" collapsed="false">
      <c r="A20" s="4" t="s">
        <v>340</v>
      </c>
      <c r="B20" s="44" t="n">
        <f aca="false">-B11</f>
        <v>-6000</v>
      </c>
      <c r="C20" s="44" t="n">
        <f aca="false">-C11</f>
        <v>-6000</v>
      </c>
      <c r="D20" s="44" t="n">
        <f aca="false">-D11</f>
        <v>-6000</v>
      </c>
      <c r="E20" s="44" t="n">
        <f aca="false">-E11</f>
        <v>-8000</v>
      </c>
      <c r="F20" s="44" t="n">
        <f aca="false">-F11</f>
        <v>-8000</v>
      </c>
      <c r="G20" s="44" t="n">
        <f aca="false">-G11</f>
        <v>-8000</v>
      </c>
      <c r="H20" s="44" t="n">
        <f aca="false">-H11</f>
        <v>-11000</v>
      </c>
      <c r="I20" s="44" t="n">
        <f aca="false">-I11</f>
        <v>-11000</v>
      </c>
      <c r="J20" s="44" t="n">
        <f aca="false">-J11</f>
        <v>-11000</v>
      </c>
      <c r="K20" s="44" t="n">
        <f aca="false">-K11</f>
        <v>-11000</v>
      </c>
      <c r="L20" s="44" t="n">
        <f aca="false">-L11</f>
        <v>-11000</v>
      </c>
      <c r="M20" s="44" t="n">
        <f aca="false">-M11</f>
        <v>-11000</v>
      </c>
      <c r="N20" s="44" t="n">
        <f aca="false">-N11</f>
        <v>-12000</v>
      </c>
      <c r="O20" s="44" t="n">
        <f aca="false">-O11</f>
        <v>-12000</v>
      </c>
      <c r="P20" s="44" t="n">
        <f aca="false">-P11</f>
        <v>-12000</v>
      </c>
      <c r="Q20" s="44" t="n">
        <f aca="false">-Q11</f>
        <v>-12000</v>
      </c>
      <c r="R20" s="44" t="n">
        <f aca="false">-R11</f>
        <v>-12000</v>
      </c>
      <c r="S20" s="44" t="n">
        <f aca="false">-S11</f>
        <v>-12000</v>
      </c>
      <c r="T20" s="44" t="n">
        <f aca="false">-T11</f>
        <v>-12000</v>
      </c>
      <c r="U20" s="44" t="n">
        <f aca="false">-U11</f>
        <v>-12000</v>
      </c>
      <c r="V20" s="44" t="n">
        <f aca="false">-V11</f>
        <v>-12000</v>
      </c>
      <c r="W20" s="44" t="n">
        <f aca="false">-W11</f>
        <v>-12000</v>
      </c>
      <c r="X20" s="44" t="n">
        <f aca="false">-X11</f>
        <v>-12000</v>
      </c>
      <c r="Y20" s="44" t="n">
        <f aca="false">-Y11</f>
        <v>-12000</v>
      </c>
      <c r="Z20" s="44" t="n">
        <f aca="false">-Z11</f>
        <v>-12000</v>
      </c>
      <c r="AA20" s="44" t="n">
        <f aca="false">-AA11</f>
        <v>-12000</v>
      </c>
      <c r="AB20" s="44" t="n">
        <f aca="false">-AB11</f>
        <v>-12000</v>
      </c>
      <c r="AC20" s="44" t="n">
        <f aca="false">-AC11</f>
        <v>-12000</v>
      </c>
      <c r="AD20" s="44" t="n">
        <f aca="false">-AD11</f>
        <v>-12000</v>
      </c>
      <c r="AE20" s="44" t="n">
        <f aca="false">-AE11</f>
        <v>-12000</v>
      </c>
      <c r="AF20" s="44" t="n">
        <f aca="false">-AF11</f>
        <v>-12000</v>
      </c>
      <c r="AG20" s="44" t="n">
        <f aca="false">-AG11</f>
        <v>-12000</v>
      </c>
      <c r="AH20" s="44" t="n">
        <f aca="false">-AH11</f>
        <v>-12000</v>
      </c>
      <c r="AI20" s="44" t="n">
        <f aca="false">-AI11</f>
        <v>-12000</v>
      </c>
      <c r="AJ20" s="44" t="n">
        <f aca="false">-AJ11</f>
        <v>-12000</v>
      </c>
      <c r="AK20" s="44" t="n">
        <f aca="false">-AK11</f>
        <v>-12000</v>
      </c>
    </row>
    <row r="21" customFormat="false" ht="15" hidden="false" customHeight="true" outlineLevel="0" collapsed="false">
      <c r="A21" s="16" t="s">
        <v>341</v>
      </c>
      <c r="B21" s="17" t="n">
        <f aca="false">SUM(B18:B20)</f>
        <v>6434.78260869565</v>
      </c>
      <c r="C21" s="17" t="n">
        <f aca="false">SUM(C18:C20)</f>
        <v>6454.78260869565</v>
      </c>
      <c r="D21" s="17" t="n">
        <f aca="false">SUM(D18:D20)</f>
        <v>6474.98260869565</v>
      </c>
      <c r="E21" s="17" t="n">
        <f aca="false">SUM(E18:E20)</f>
        <v>7973.64547826087</v>
      </c>
      <c r="F21" s="17" t="n">
        <f aca="false">SUM(F18:F20)</f>
        <v>7994.25149826087</v>
      </c>
      <c r="G21" s="17" t="n">
        <f aca="false">SUM(G18:G20)</f>
        <v>8015.06357846087</v>
      </c>
      <c r="H21" s="17" t="n">
        <f aca="false">SUM(H18:H20)</f>
        <v>10253.4750838107</v>
      </c>
      <c r="I21" s="17" t="n">
        <f aca="false">SUM(I18:I20)</f>
        <v>10274.7054868227</v>
      </c>
      <c r="J21" s="17" t="n">
        <f aca="false">SUM(J18:J20)</f>
        <v>10296.1481938649</v>
      </c>
      <c r="K21" s="17" t="n">
        <f aca="false">SUM(K18:K20)</f>
        <v>10339.46246209</v>
      </c>
      <c r="L21" s="17" t="n">
        <f aca="false">SUM(L18:L20)</f>
        <v>10383.6430156796</v>
      </c>
      <c r="M21" s="17" t="n">
        <f aca="false">SUM(M18:M20)</f>
        <v>10428.707180341</v>
      </c>
      <c r="N21" s="17" t="n">
        <f aca="false">SUM(N18:N20)</f>
        <v>12457.2813239478</v>
      </c>
      <c r="O21" s="17" t="n">
        <f aca="false">SUM(O18:O20)</f>
        <v>12506.1660808616</v>
      </c>
      <c r="P21" s="17" t="n">
        <f aca="false">SUM(P18:P20)</f>
        <v>12556.0085329136</v>
      </c>
      <c r="Q21" s="17" t="n">
        <f aca="false">SUM(Q18:Q20)</f>
        <v>12954.6537209632</v>
      </c>
      <c r="R21" s="17" t="n">
        <f aca="false">SUM(R18:R20)</f>
        <v>13006.4688020781</v>
      </c>
      <c r="S21" s="17" t="n">
        <f aca="false">SUM(S18:S20)</f>
        <v>13059.2995787953</v>
      </c>
      <c r="T21" s="17" t="n">
        <f aca="false">SUM(T18:T20)</f>
        <v>13634.9052894014</v>
      </c>
      <c r="U21" s="17" t="n">
        <f aca="false">SUM(U18:U20)</f>
        <v>13689.8281809752</v>
      </c>
      <c r="V21" s="17" t="n">
        <f aca="false">SUM(V18:V20)</f>
        <v>13745.8282999775</v>
      </c>
      <c r="W21" s="17" t="n">
        <f aca="false">SUM(W18:W20)</f>
        <v>13805.092692064</v>
      </c>
      <c r="X21" s="17" t="n">
        <f aca="false">SUM(X18:X20)</f>
        <v>13865.5423719922</v>
      </c>
      <c r="Y21" s="17" t="n">
        <f aca="false">SUM(Y18:Y20)</f>
        <v>13927.201045519</v>
      </c>
      <c r="Z21" s="17" t="n">
        <f aca="false">SUM(Z18:Z20)</f>
        <v>14164.0059359946</v>
      </c>
      <c r="AA21" s="17" t="n">
        <f aca="false">SUM(AA18:AA20)</f>
        <v>14228.1556199319</v>
      </c>
      <c r="AB21" s="17" t="n">
        <f aca="false">SUM(AB18:AB20)</f>
        <v>14293.5882975479</v>
      </c>
      <c r="AC21" s="17" t="n">
        <f aca="false">SUM(AC18:AC20)</f>
        <v>14360.3296287163</v>
      </c>
      <c r="AD21" s="17" t="n">
        <f aca="false">SUM(AD18:AD20)</f>
        <v>14428.405786508</v>
      </c>
      <c r="AE21" s="17" t="n">
        <f aca="false">SUM(AE18:AE20)</f>
        <v>14497.8434674555</v>
      </c>
      <c r="AF21" s="17" t="n">
        <f aca="false">SUM(AF18:AF20)</f>
        <v>14568.669902022</v>
      </c>
      <c r="AG21" s="17" t="n">
        <f aca="false">SUM(AG18:AG20)</f>
        <v>14640.9128652799</v>
      </c>
      <c r="AH21" s="17" t="n">
        <f aca="false">SUM(AH18:AH20)</f>
        <v>14714.6006878029</v>
      </c>
      <c r="AI21" s="17" t="n">
        <f aca="false">SUM(AI18:AI20)</f>
        <v>14789.7622667763</v>
      </c>
      <c r="AJ21" s="17" t="n">
        <f aca="false">SUM(AJ18:AJ20)</f>
        <v>14866.4270773292</v>
      </c>
      <c r="AK21" s="17" t="n">
        <f aca="false">SUM(AK18:AK20)</f>
        <v>14944.6251840932</v>
      </c>
    </row>
    <row r="22" customFormat="false" ht="1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customFormat="false" ht="15" hidden="false" customHeight="true" outlineLevel="0" collapsed="false">
      <c r="A23" s="47" t="s">
        <v>342</v>
      </c>
      <c r="B23" s="48" t="n">
        <f aca="false">B15*Assumptions!$F$10</f>
        <v>62.1739130434783</v>
      </c>
      <c r="C23" s="48" t="n">
        <f aca="false">C15*Assumptions!$F$10</f>
        <v>62.2739130434783</v>
      </c>
      <c r="D23" s="48" t="n">
        <f aca="false">D15*Assumptions!$F$10</f>
        <v>62.3749130434783</v>
      </c>
      <c r="E23" s="48" t="n">
        <f aca="false">E15*Assumptions!$F$10</f>
        <v>79.8682273913043</v>
      </c>
      <c r="F23" s="48" t="n">
        <f aca="false">F15*Assumptions!$F$10</f>
        <v>79.9712574913044</v>
      </c>
      <c r="G23" s="48" t="n">
        <f aca="false">G15*Assumptions!$F$10</f>
        <v>80.0753178923044</v>
      </c>
      <c r="H23" s="48" t="n">
        <f aca="false">H15*Assumptions!$F$10</f>
        <v>106.267375419053</v>
      </c>
      <c r="I23" s="48" t="n">
        <f aca="false">I15*Assumptions!$F$10</f>
        <v>106.373527434114</v>
      </c>
      <c r="J23" s="48" t="n">
        <f aca="false">J15*Assumptions!$F$10</f>
        <v>106.480740969324</v>
      </c>
      <c r="K23" s="48" t="n">
        <f aca="false">K15*Assumptions!$F$10</f>
        <v>106.69731231045</v>
      </c>
      <c r="L23" s="48" t="n">
        <f aca="false">L15*Assumptions!$F$10</f>
        <v>106.918215078398</v>
      </c>
      <c r="M23" s="48" t="n">
        <f aca="false">M15*Assumptions!$F$10</f>
        <v>107.143535901705</v>
      </c>
      <c r="N23" s="48" t="n">
        <f aca="false">N15*Assumptions!$F$10</f>
        <v>116.069015315391</v>
      </c>
      <c r="O23" s="48" t="n">
        <f aca="false">O15*Assumptions!$F$10</f>
        <v>116.30343909996</v>
      </c>
      <c r="P23" s="48" t="n">
        <f aca="false">P15*Assumptions!$F$10</f>
        <v>116.54255136022</v>
      </c>
      <c r="Q23" s="48" t="n">
        <f aca="false">Q15*Assumptions!$F$10</f>
        <v>116.786445865685</v>
      </c>
      <c r="R23" s="48" t="n">
        <f aca="false">R15*Assumptions!$F$10</f>
        <v>117.03521826126</v>
      </c>
      <c r="S23" s="48" t="n">
        <f aca="false">S15*Assumptions!$F$10</f>
        <v>117.288966104746</v>
      </c>
      <c r="T23" s="48" t="n">
        <f aca="false">T15*Assumptions!$F$10</f>
        <v>117.547788905102</v>
      </c>
      <c r="U23" s="48" t="n">
        <f aca="false">U15*Assumptions!$F$10</f>
        <v>117.811788161465</v>
      </c>
      <c r="V23" s="48" t="n">
        <f aca="false">V15*Assumptions!$F$10</f>
        <v>118.081067402955</v>
      </c>
      <c r="W23" s="48" t="n">
        <f aca="false">W15*Assumptions!$F$10</f>
        <v>118.355732229275</v>
      </c>
      <c r="X23" s="48" t="n">
        <f aca="false">X15*Assumptions!$F$10</f>
        <v>118.635890352121</v>
      </c>
      <c r="Y23" s="48" t="n">
        <f aca="false">Y15*Assumptions!$F$10</f>
        <v>118.921651637425</v>
      </c>
      <c r="Z23" s="48" t="n">
        <f aca="false">Z15*Assumptions!$F$10</f>
        <v>119.213128148434</v>
      </c>
      <c r="AA23" s="48" t="n">
        <f aca="false">AA15*Assumptions!$F$10</f>
        <v>119.510434189664</v>
      </c>
      <c r="AB23" s="48" t="n">
        <f aca="false">AB15*Assumptions!$F$10</f>
        <v>119.813686351718</v>
      </c>
      <c r="AC23" s="48" t="n">
        <f aca="false">AC15*Assumptions!$F$10</f>
        <v>120.123003557013</v>
      </c>
      <c r="AD23" s="48" t="n">
        <f aca="false">AD15*Assumptions!$F$10</f>
        <v>120.438507106414</v>
      </c>
      <c r="AE23" s="48" t="n">
        <f aca="false">AE15*Assumptions!$F$10</f>
        <v>120.760320726803</v>
      </c>
      <c r="AF23" s="48" t="n">
        <f aca="false">AF15*Assumptions!$F$10</f>
        <v>121.0885706196</v>
      </c>
      <c r="AG23" s="48" t="n">
        <f aca="false">AG15*Assumptions!$F$10</f>
        <v>121.423385510253</v>
      </c>
      <c r="AH23" s="48" t="n">
        <f aca="false">AH15*Assumptions!$F$10</f>
        <v>121.764896698719</v>
      </c>
      <c r="AI23" s="48" t="n">
        <f aca="false">AI15*Assumptions!$F$10</f>
        <v>122.113238110954</v>
      </c>
      <c r="AJ23" s="48" t="n">
        <f aca="false">AJ15*Assumptions!$F$10</f>
        <v>122.468546351434</v>
      </c>
      <c r="AK23" s="48" t="n">
        <f aca="false">AK15*Assumptions!$F$10</f>
        <v>122.830960756724</v>
      </c>
    </row>
    <row r="24" customFormat="false" ht="1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customFormat="false" ht="15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customFormat="false" ht="15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customFormat="false" ht="15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customFormat="false" ht="1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customFormat="false" ht="15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customFormat="false" ht="1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customFormat="false" ht="15" hidden="false" customHeight="tru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customFormat="false" ht="1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customFormat="false" ht="15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customFormat="false" ht="15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customFormat="false" ht="15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customFormat="false" ht="15" hidden="false" customHeight="tru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customFormat="false" ht="1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customFormat="false" ht="15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customFormat="false" ht="15" hidden="false" customHeight="tru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customFormat="false" ht="15" hidden="false" customHeight="tru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customFormat="false" ht="15" hidden="false" customHeight="tru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customFormat="false" ht="15" hidden="false" customHeight="tru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customFormat="false" ht="1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customFormat="false" ht="15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customFormat="false" ht="15" hidden="false" customHeight="tru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customFormat="false" ht="15" hidden="false" customHeight="tru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customFormat="false" ht="1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customFormat="false" ht="15" hidden="false" customHeight="tru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customFormat="false" ht="15" hidden="false" customHeight="tru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customFormat="false" ht="15" hidden="false" customHeight="tru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customFormat="false" ht="15" hidden="false" customHeight="tru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customFormat="false" ht="15" hidden="false" customHeight="tru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customFormat="false" ht="15" hidden="false" customHeight="tru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customFormat="false" ht="15" hidden="false" customHeight="tru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customFormat="false" ht="15" hidden="false" customHeight="tru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customFormat="false" ht="15" hidden="false" customHeight="tru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customFormat="false" ht="1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 customFormat="false" ht="1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 customFormat="false" ht="1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 customFormat="false" ht="1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</sheetData>
  <mergeCells count="3">
    <mergeCell ref="A1:AK1"/>
    <mergeCell ref="A2:AK2"/>
    <mergeCell ref="A9:AK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.11"/>
  </cols>
  <sheetData>
    <row r="1" customFormat="false" ht="25.5" hidden="false" customHeight="true" outlineLevel="0" collapsed="false">
      <c r="A1" s="2" t="s">
        <v>343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customFormat="false" ht="24" hidden="false" customHeight="true" outlineLevel="0" collapsed="false">
      <c r="A2" s="3" t="s">
        <v>344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customFormat="false" ht="1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customFormat="false" ht="15" hidden="false" customHeight="true" outlineLevel="0" collapsed="false">
      <c r="A5" s="41" t="s">
        <v>286</v>
      </c>
      <c r="B5" s="41" t="s">
        <v>287</v>
      </c>
      <c r="C5" s="41" t="s">
        <v>288</v>
      </c>
      <c r="D5" s="41" t="s">
        <v>289</v>
      </c>
      <c r="E5" s="41" t="s">
        <v>290</v>
      </c>
      <c r="F5" s="41" t="s">
        <v>291</v>
      </c>
      <c r="G5" s="41" t="s">
        <v>292</v>
      </c>
      <c r="H5" s="41" t="s">
        <v>293</v>
      </c>
      <c r="I5" s="41" t="s">
        <v>294</v>
      </c>
      <c r="J5" s="41" t="s">
        <v>295</v>
      </c>
      <c r="K5" s="41" t="s">
        <v>296</v>
      </c>
      <c r="L5" s="41" t="s">
        <v>297</v>
      </c>
      <c r="M5" s="41" t="s">
        <v>298</v>
      </c>
      <c r="N5" s="41" t="s">
        <v>299</v>
      </c>
      <c r="O5" s="41" t="s">
        <v>300</v>
      </c>
      <c r="P5" s="41" t="s">
        <v>301</v>
      </c>
      <c r="Q5" s="41" t="s">
        <v>302</v>
      </c>
      <c r="R5" s="41" t="s">
        <v>303</v>
      </c>
      <c r="S5" s="41" t="s">
        <v>304</v>
      </c>
      <c r="T5" s="41" t="s">
        <v>305</v>
      </c>
      <c r="U5" s="41" t="s">
        <v>306</v>
      </c>
      <c r="V5" s="41" t="s">
        <v>307</v>
      </c>
      <c r="W5" s="41" t="s">
        <v>308</v>
      </c>
      <c r="X5" s="41" t="s">
        <v>309</v>
      </c>
      <c r="Y5" s="41" t="s">
        <v>310</v>
      </c>
      <c r="Z5" s="41" t="s">
        <v>311</v>
      </c>
      <c r="AA5" s="41" t="s">
        <v>312</v>
      </c>
      <c r="AB5" s="41" t="s">
        <v>313</v>
      </c>
      <c r="AC5" s="41" t="s">
        <v>314</v>
      </c>
      <c r="AD5" s="41" t="s">
        <v>315</v>
      </c>
      <c r="AE5" s="41" t="s">
        <v>316</v>
      </c>
      <c r="AF5" s="41" t="s">
        <v>317</v>
      </c>
      <c r="AG5" s="41" t="s">
        <v>318</v>
      </c>
      <c r="AH5" s="41" t="s">
        <v>319</v>
      </c>
      <c r="AI5" s="41" t="s">
        <v>320</v>
      </c>
      <c r="AJ5" s="41" t="s">
        <v>321</v>
      </c>
      <c r="AK5" s="41" t="s">
        <v>322</v>
      </c>
    </row>
    <row r="6" customFormat="false" ht="15" hidden="false" customHeight="true" outlineLevel="0" collapsed="false">
      <c r="A6" s="41" t="s">
        <v>40</v>
      </c>
      <c r="B6" s="41" t="s">
        <v>45</v>
      </c>
      <c r="C6" s="41" t="s">
        <v>45</v>
      </c>
      <c r="D6" s="41" t="s">
        <v>45</v>
      </c>
      <c r="E6" s="41" t="s">
        <v>45</v>
      </c>
      <c r="F6" s="41" t="s">
        <v>45</v>
      </c>
      <c r="G6" s="41" t="s">
        <v>45</v>
      </c>
      <c r="H6" s="41" t="s">
        <v>45</v>
      </c>
      <c r="I6" s="41" t="s">
        <v>45</v>
      </c>
      <c r="J6" s="41" t="s">
        <v>45</v>
      </c>
      <c r="K6" s="41" t="s">
        <v>45</v>
      </c>
      <c r="L6" s="41" t="s">
        <v>45</v>
      </c>
      <c r="M6" s="41" t="s">
        <v>45</v>
      </c>
      <c r="N6" s="41" t="s">
        <v>46</v>
      </c>
      <c r="O6" s="41" t="s">
        <v>46</v>
      </c>
      <c r="P6" s="41" t="s">
        <v>46</v>
      </c>
      <c r="Q6" s="41" t="s">
        <v>46</v>
      </c>
      <c r="R6" s="41" t="s">
        <v>46</v>
      </c>
      <c r="S6" s="41" t="s">
        <v>46</v>
      </c>
      <c r="T6" s="41" t="s">
        <v>46</v>
      </c>
      <c r="U6" s="41" t="s">
        <v>46</v>
      </c>
      <c r="V6" s="41" t="s">
        <v>46</v>
      </c>
      <c r="W6" s="41" t="s">
        <v>46</v>
      </c>
      <c r="X6" s="41" t="s">
        <v>46</v>
      </c>
      <c r="Y6" s="41" t="s">
        <v>46</v>
      </c>
      <c r="Z6" s="41" t="s">
        <v>47</v>
      </c>
      <c r="AA6" s="41" t="s">
        <v>47</v>
      </c>
      <c r="AB6" s="41" t="s">
        <v>47</v>
      </c>
      <c r="AC6" s="41" t="s">
        <v>47</v>
      </c>
      <c r="AD6" s="41" t="s">
        <v>47</v>
      </c>
      <c r="AE6" s="41" t="s">
        <v>47</v>
      </c>
      <c r="AF6" s="41" t="s">
        <v>47</v>
      </c>
      <c r="AG6" s="41" t="s">
        <v>47</v>
      </c>
      <c r="AH6" s="41" t="s">
        <v>47</v>
      </c>
      <c r="AI6" s="41" t="s">
        <v>47</v>
      </c>
      <c r="AJ6" s="41" t="s">
        <v>47</v>
      </c>
      <c r="AK6" s="41" t="s">
        <v>47</v>
      </c>
    </row>
    <row r="7" customFormat="false" ht="15" hidden="false" customHeight="true" outlineLevel="0" collapsed="false">
      <c r="A7" s="42" t="s">
        <v>323</v>
      </c>
      <c r="B7" s="42" t="s">
        <v>324</v>
      </c>
      <c r="C7" s="42" t="s">
        <v>324</v>
      </c>
      <c r="D7" s="42" t="s">
        <v>324</v>
      </c>
      <c r="E7" s="42" t="s">
        <v>325</v>
      </c>
      <c r="F7" s="42" t="s">
        <v>325</v>
      </c>
      <c r="G7" s="42" t="s">
        <v>326</v>
      </c>
      <c r="H7" s="42" t="s">
        <v>327</v>
      </c>
      <c r="I7" s="42" t="s">
        <v>327</v>
      </c>
      <c r="J7" s="42" t="s">
        <v>327</v>
      </c>
      <c r="K7" s="42" t="s">
        <v>328</v>
      </c>
      <c r="L7" s="42" t="s">
        <v>328</v>
      </c>
      <c r="M7" s="42" t="s">
        <v>328</v>
      </c>
      <c r="N7" s="42" t="s">
        <v>329</v>
      </c>
      <c r="O7" s="42" t="s">
        <v>329</v>
      </c>
      <c r="P7" s="42" t="s">
        <v>329</v>
      </c>
      <c r="Q7" s="42" t="s">
        <v>329</v>
      </c>
      <c r="R7" s="42" t="s">
        <v>329</v>
      </c>
      <c r="S7" s="42" t="s">
        <v>329</v>
      </c>
      <c r="T7" s="42" t="s">
        <v>329</v>
      </c>
      <c r="U7" s="42" t="s">
        <v>329</v>
      </c>
      <c r="V7" s="42" t="s">
        <v>329</v>
      </c>
      <c r="W7" s="42" t="s">
        <v>329</v>
      </c>
      <c r="X7" s="42" t="s">
        <v>329</v>
      </c>
      <c r="Y7" s="42" t="s">
        <v>329</v>
      </c>
      <c r="Z7" s="42" t="s">
        <v>329</v>
      </c>
      <c r="AA7" s="42" t="s">
        <v>329</v>
      </c>
      <c r="AB7" s="42" t="s">
        <v>329</v>
      </c>
      <c r="AC7" s="42" t="s">
        <v>329</v>
      </c>
      <c r="AD7" s="42" t="s">
        <v>329</v>
      </c>
      <c r="AE7" s="42" t="s">
        <v>329</v>
      </c>
      <c r="AF7" s="42" t="s">
        <v>329</v>
      </c>
      <c r="AG7" s="42" t="s">
        <v>329</v>
      </c>
      <c r="AH7" s="42" t="s">
        <v>329</v>
      </c>
      <c r="AI7" s="42" t="s">
        <v>329</v>
      </c>
      <c r="AJ7" s="42" t="s">
        <v>329</v>
      </c>
      <c r="AK7" s="42" t="s">
        <v>329</v>
      </c>
    </row>
    <row r="8" customFormat="false" ht="15" hidden="false" customHeight="tru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customFormat="false" ht="17.25" hidden="false" customHeight="true" outlineLevel="0" collapsed="false">
      <c r="A9" s="5" t="s">
        <v>345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customFormat="false" ht="15" hidden="false" customHeight="true" outlineLevel="0" collapsed="false">
      <c r="A10" s="4" t="s">
        <v>346</v>
      </c>
      <c r="B10" s="43" t="n">
        <f aca="false">IF(AND(1&gt;=Assumptions!$C$49,1&lt;Assumptions!$C$49+Assumptions!$C$52),Assumptions!$C$42*Assumptions!$F$9/Assumptions!$C$52,0)</f>
        <v>0</v>
      </c>
      <c r="C10" s="43" t="n">
        <f aca="false">IF(AND(2&gt;=Assumptions!$C$49,2&lt;Assumptions!$C$49+Assumptions!$C$52),Assumptions!$C$42*Assumptions!$F$9/Assumptions!$C$52,0)</f>
        <v>0</v>
      </c>
      <c r="D10" s="43" t="n">
        <f aca="false">IF(AND(3&gt;=Assumptions!$C$49,3&lt;Assumptions!$C$49+Assumptions!$C$52),Assumptions!$C$42*Assumptions!$F$9/Assumptions!$C$52,0)</f>
        <v>0</v>
      </c>
      <c r="E10" s="43" t="n">
        <f aca="false">IF(AND(4&gt;=Assumptions!$C$49,4&lt;Assumptions!$C$49+Assumptions!$C$52),Assumptions!$C$42*Assumptions!$F$9/Assumptions!$C$52,0)</f>
        <v>70</v>
      </c>
      <c r="F10" s="43" t="n">
        <f aca="false">IF(AND(5&gt;=Assumptions!$C$49,5&lt;Assumptions!$C$49+Assumptions!$C$52),Assumptions!$C$42*Assumptions!$F$9/Assumptions!$C$52,0)</f>
        <v>70</v>
      </c>
      <c r="G10" s="43" t="n">
        <f aca="false">IF(AND(6&gt;=Assumptions!$C$49,6&lt;Assumptions!$C$49+Assumptions!$C$52),Assumptions!$C$42*Assumptions!$F$9/Assumptions!$C$52,0)</f>
        <v>70</v>
      </c>
      <c r="H10" s="43" t="n">
        <f aca="false">IF(AND(7&gt;=Assumptions!$C$49,7&lt;Assumptions!$C$49+Assumptions!$C$52),Assumptions!$C$42*Assumptions!$F$9/Assumptions!$C$52,0)</f>
        <v>70</v>
      </c>
      <c r="I10" s="43" t="n">
        <f aca="false">IF(AND(8&gt;=Assumptions!$C$49,8&lt;Assumptions!$C$49+Assumptions!$C$52),Assumptions!$C$42*Assumptions!$F$9/Assumptions!$C$52,0)</f>
        <v>70</v>
      </c>
      <c r="J10" s="43" t="n">
        <f aca="false">IF(AND(9&gt;=Assumptions!$C$49,9&lt;Assumptions!$C$49+Assumptions!$C$52),Assumptions!$C$42*Assumptions!$F$9/Assumptions!$C$52,0)</f>
        <v>70</v>
      </c>
      <c r="K10" s="43" t="n">
        <f aca="false">IF(AND(10&gt;=Assumptions!$C$49,10&lt;Assumptions!$C$49+Assumptions!$C$52),Assumptions!$C$42*Assumptions!$F$9/Assumptions!$C$52,0)</f>
        <v>0</v>
      </c>
      <c r="L10" s="43" t="n">
        <f aca="false">IF(AND(11&gt;=Assumptions!$C$49,11&lt;Assumptions!$C$49+Assumptions!$C$52),Assumptions!$C$42*Assumptions!$F$9/Assumptions!$C$52,0)</f>
        <v>0</v>
      </c>
      <c r="M10" s="43" t="n">
        <f aca="false">IF(AND(12&gt;=Assumptions!$C$49,12&lt;Assumptions!$C$49+Assumptions!$C$52),Assumptions!$C$42*Assumptions!$F$9/Assumptions!$C$52,0)</f>
        <v>0</v>
      </c>
      <c r="N10" s="43" t="n">
        <f aca="false">IF(AND(13&gt;=Assumptions!$C$49,13&lt;Assumptions!$C$49+Assumptions!$C$52),Assumptions!$C$42*Assumptions!$F$9/Assumptions!$C$52,0)</f>
        <v>0</v>
      </c>
      <c r="O10" s="43" t="n">
        <f aca="false">IF(AND(14&gt;=Assumptions!$C$49,14&lt;Assumptions!$C$49+Assumptions!$C$52),Assumptions!$C$42*Assumptions!$F$9/Assumptions!$C$52,0)</f>
        <v>0</v>
      </c>
      <c r="P10" s="43" t="n">
        <f aca="false">IF(AND(15&gt;=Assumptions!$C$49,15&lt;Assumptions!$C$49+Assumptions!$C$52),Assumptions!$C$42*Assumptions!$F$9/Assumptions!$C$52,0)</f>
        <v>0</v>
      </c>
      <c r="Q10" s="43" t="n">
        <f aca="false">IF(AND(16&gt;=Assumptions!$C$49,16&lt;Assumptions!$C$49+Assumptions!$C$52),Assumptions!$C$42*Assumptions!$F$9/Assumptions!$C$52,0)</f>
        <v>0</v>
      </c>
      <c r="R10" s="43" t="n">
        <f aca="false">IF(AND(17&gt;=Assumptions!$C$49,17&lt;Assumptions!$C$49+Assumptions!$C$52),Assumptions!$C$42*Assumptions!$F$9/Assumptions!$C$52,0)</f>
        <v>0</v>
      </c>
      <c r="S10" s="43" t="n">
        <f aca="false">IF(AND(18&gt;=Assumptions!$C$49,18&lt;Assumptions!$C$49+Assumptions!$C$52),Assumptions!$C$42*Assumptions!$F$9/Assumptions!$C$52,0)</f>
        <v>0</v>
      </c>
      <c r="T10" s="43" t="n">
        <f aca="false">IF(AND(19&gt;=Assumptions!$C$49,19&lt;Assumptions!$C$49+Assumptions!$C$52),Assumptions!$C$42*Assumptions!$F$9/Assumptions!$C$52,0)</f>
        <v>0</v>
      </c>
      <c r="U10" s="43" t="n">
        <f aca="false">IF(AND(20&gt;=Assumptions!$C$49,20&lt;Assumptions!$C$49+Assumptions!$C$52),Assumptions!$C$42*Assumptions!$F$9/Assumptions!$C$52,0)</f>
        <v>0</v>
      </c>
      <c r="V10" s="43" t="n">
        <f aca="false">IF(AND(21&gt;=Assumptions!$C$49,21&lt;Assumptions!$C$49+Assumptions!$C$52),Assumptions!$C$42*Assumptions!$F$9/Assumptions!$C$52,0)</f>
        <v>0</v>
      </c>
      <c r="W10" s="43" t="n">
        <f aca="false">IF(AND(22&gt;=Assumptions!$C$49,22&lt;Assumptions!$C$49+Assumptions!$C$52),Assumptions!$C$42*Assumptions!$F$9/Assumptions!$C$52,0)</f>
        <v>0</v>
      </c>
      <c r="X10" s="43" t="n">
        <f aca="false">IF(AND(23&gt;=Assumptions!$C$49,23&lt;Assumptions!$C$49+Assumptions!$C$52),Assumptions!$C$42*Assumptions!$F$9/Assumptions!$C$52,0)</f>
        <v>0</v>
      </c>
      <c r="Y10" s="43" t="n">
        <f aca="false">IF(AND(24&gt;=Assumptions!$C$49,24&lt;Assumptions!$C$49+Assumptions!$C$52),Assumptions!$C$42*Assumptions!$F$9/Assumptions!$C$52,0)</f>
        <v>0</v>
      </c>
      <c r="Z10" s="43" t="n">
        <f aca="false">IF(AND(25&gt;=Assumptions!$C$49,25&lt;Assumptions!$C$49+Assumptions!$C$52),Assumptions!$C$42*Assumptions!$F$9/Assumptions!$C$52,0)</f>
        <v>0</v>
      </c>
      <c r="AA10" s="43" t="n">
        <f aca="false">IF(AND(26&gt;=Assumptions!$C$49,26&lt;Assumptions!$C$49+Assumptions!$C$52),Assumptions!$C$42*Assumptions!$F$9/Assumptions!$C$52,0)</f>
        <v>0</v>
      </c>
      <c r="AB10" s="43" t="n">
        <f aca="false">IF(AND(27&gt;=Assumptions!$C$49,27&lt;Assumptions!$C$49+Assumptions!$C$52),Assumptions!$C$42*Assumptions!$F$9/Assumptions!$C$52,0)</f>
        <v>0</v>
      </c>
      <c r="AC10" s="43" t="n">
        <f aca="false">IF(AND(28&gt;=Assumptions!$C$49,28&lt;Assumptions!$C$49+Assumptions!$C$52),Assumptions!$C$42*Assumptions!$F$9/Assumptions!$C$52,0)</f>
        <v>0</v>
      </c>
      <c r="AD10" s="43" t="n">
        <f aca="false">IF(AND(29&gt;=Assumptions!$C$49,29&lt;Assumptions!$C$49+Assumptions!$C$52),Assumptions!$C$42*Assumptions!$F$9/Assumptions!$C$52,0)</f>
        <v>0</v>
      </c>
      <c r="AE10" s="43" t="n">
        <f aca="false">IF(AND(30&gt;=Assumptions!$C$49,30&lt;Assumptions!$C$49+Assumptions!$C$52),Assumptions!$C$42*Assumptions!$F$9/Assumptions!$C$52,0)</f>
        <v>0</v>
      </c>
      <c r="AF10" s="43" t="n">
        <f aca="false">IF(AND(31&gt;=Assumptions!$C$49,31&lt;Assumptions!$C$49+Assumptions!$C$52),Assumptions!$C$42*Assumptions!$F$9/Assumptions!$C$52,0)</f>
        <v>0</v>
      </c>
      <c r="AG10" s="43" t="n">
        <f aca="false">IF(AND(32&gt;=Assumptions!$C$49,32&lt;Assumptions!$C$49+Assumptions!$C$52),Assumptions!$C$42*Assumptions!$F$9/Assumptions!$C$52,0)</f>
        <v>0</v>
      </c>
      <c r="AH10" s="43" t="n">
        <f aca="false">IF(AND(33&gt;=Assumptions!$C$49,33&lt;Assumptions!$C$49+Assumptions!$C$52),Assumptions!$C$42*Assumptions!$F$9/Assumptions!$C$52,0)</f>
        <v>0</v>
      </c>
      <c r="AI10" s="43" t="n">
        <f aca="false">IF(AND(34&gt;=Assumptions!$C$49,34&lt;Assumptions!$C$49+Assumptions!$C$52),Assumptions!$C$42*Assumptions!$F$9/Assumptions!$C$52,0)</f>
        <v>0</v>
      </c>
      <c r="AJ10" s="43" t="n">
        <f aca="false">IF(AND(35&gt;=Assumptions!$C$49,35&lt;Assumptions!$C$49+Assumptions!$C$52),Assumptions!$C$42*Assumptions!$F$9/Assumptions!$C$52,0)</f>
        <v>0</v>
      </c>
      <c r="AK10" s="43" t="n">
        <f aca="false">IF(AND(36&gt;=Assumptions!$C$49,36&lt;Assumptions!$C$49+Assumptions!$C$52),Assumptions!$C$42*Assumptions!$F$9/Assumptions!$C$52,0)</f>
        <v>0</v>
      </c>
    </row>
    <row r="11" customFormat="false" ht="15" hidden="false" customHeight="true" outlineLevel="0" collapsed="false">
      <c r="A11" s="4" t="s">
        <v>347</v>
      </c>
      <c r="B11" s="43" t="n">
        <f aca="false">IF(1&lt;Assumptions!$C$49,0,'Physical Business'!B23)</f>
        <v>0</v>
      </c>
      <c r="C11" s="43" t="n">
        <f aca="false">IF(2&lt;Assumptions!$C$49,0,'Physical Business'!C23)</f>
        <v>0</v>
      </c>
      <c r="D11" s="43" t="n">
        <f aca="false">IF(3&lt;Assumptions!$C$49,0,'Physical Business'!D23)</f>
        <v>0</v>
      </c>
      <c r="E11" s="43" t="n">
        <f aca="false">IF(4&lt;Assumptions!$C$49,0,'Physical Business'!E23)</f>
        <v>79.8682273913043</v>
      </c>
      <c r="F11" s="43" t="n">
        <f aca="false">IF(5&lt;Assumptions!$C$49,0,'Physical Business'!F23)</f>
        <v>79.9712574913044</v>
      </c>
      <c r="G11" s="43" t="n">
        <f aca="false">IF(6&lt;Assumptions!$C$49,0,'Physical Business'!G23)</f>
        <v>80.0753178923044</v>
      </c>
      <c r="H11" s="43" t="n">
        <f aca="false">IF(7&lt;Assumptions!$C$49,0,'Physical Business'!H23)</f>
        <v>106.267375419053</v>
      </c>
      <c r="I11" s="43" t="n">
        <f aca="false">IF(8&lt;Assumptions!$C$49,0,'Physical Business'!I23)</f>
        <v>106.373527434114</v>
      </c>
      <c r="J11" s="43" t="n">
        <f aca="false">IF(9&lt;Assumptions!$C$49,0,'Physical Business'!J23)</f>
        <v>106.480740969324</v>
      </c>
      <c r="K11" s="43" t="n">
        <f aca="false">IF(10&lt;Assumptions!$C$49,0,'Physical Business'!K23)</f>
        <v>106.69731231045</v>
      </c>
      <c r="L11" s="43" t="n">
        <f aca="false">IF(11&lt;Assumptions!$C$49,0,'Physical Business'!L23)</f>
        <v>106.918215078398</v>
      </c>
      <c r="M11" s="43" t="n">
        <f aca="false">IF(12&lt;Assumptions!$C$49,0,'Physical Business'!M23)</f>
        <v>107.143535901705</v>
      </c>
      <c r="N11" s="43" t="n">
        <f aca="false">IF(13&lt;Assumptions!$C$49,0,'Physical Business'!N23)</f>
        <v>116.069015315391</v>
      </c>
      <c r="O11" s="43" t="n">
        <f aca="false">IF(14&lt;Assumptions!$C$49,0,'Physical Business'!O23)</f>
        <v>116.30343909996</v>
      </c>
      <c r="P11" s="43" t="n">
        <f aca="false">IF(15&lt;Assumptions!$C$49,0,'Physical Business'!P23)</f>
        <v>116.54255136022</v>
      </c>
      <c r="Q11" s="43" t="n">
        <f aca="false">IF(16&lt;Assumptions!$C$49,0,'Physical Business'!Q23)</f>
        <v>116.786445865685</v>
      </c>
      <c r="R11" s="43" t="n">
        <f aca="false">IF(17&lt;Assumptions!$C$49,0,'Physical Business'!R23)</f>
        <v>117.03521826126</v>
      </c>
      <c r="S11" s="43" t="n">
        <f aca="false">IF(18&lt;Assumptions!$C$49,0,'Physical Business'!S23)</f>
        <v>117.288966104746</v>
      </c>
      <c r="T11" s="43" t="n">
        <f aca="false">IF(19&lt;Assumptions!$C$49,0,'Physical Business'!T23)</f>
        <v>117.547788905102</v>
      </c>
      <c r="U11" s="43" t="n">
        <f aca="false">IF(20&lt;Assumptions!$C$49,0,'Physical Business'!U23)</f>
        <v>117.811788161465</v>
      </c>
      <c r="V11" s="43" t="n">
        <f aca="false">IF(21&lt;Assumptions!$C$49,0,'Physical Business'!V23)</f>
        <v>118.081067402955</v>
      </c>
      <c r="W11" s="43" t="n">
        <f aca="false">IF(22&lt;Assumptions!$C$49,0,'Physical Business'!W23)</f>
        <v>118.355732229275</v>
      </c>
      <c r="X11" s="43" t="n">
        <f aca="false">IF(23&lt;Assumptions!$C$49,0,'Physical Business'!X23)</f>
        <v>118.635890352121</v>
      </c>
      <c r="Y11" s="43" t="n">
        <f aca="false">IF(24&lt;Assumptions!$C$49,0,'Physical Business'!Y23)</f>
        <v>118.921651637425</v>
      </c>
      <c r="Z11" s="43" t="n">
        <f aca="false">IF(25&lt;Assumptions!$C$49,0,'Physical Business'!Z23)</f>
        <v>119.213128148434</v>
      </c>
      <c r="AA11" s="43" t="n">
        <f aca="false">IF(26&lt;Assumptions!$C$49,0,'Physical Business'!AA23)</f>
        <v>119.510434189664</v>
      </c>
      <c r="AB11" s="43" t="n">
        <f aca="false">IF(27&lt;Assumptions!$C$49,0,'Physical Business'!AB23)</f>
        <v>119.813686351718</v>
      </c>
      <c r="AC11" s="43" t="n">
        <f aca="false">IF(28&lt;Assumptions!$C$49,0,'Physical Business'!AC23)</f>
        <v>120.123003557013</v>
      </c>
      <c r="AD11" s="43" t="n">
        <f aca="false">IF(29&lt;Assumptions!$C$49,0,'Physical Business'!AD23)</f>
        <v>120.438507106414</v>
      </c>
      <c r="AE11" s="43" t="n">
        <f aca="false">IF(30&lt;Assumptions!$C$49,0,'Physical Business'!AE23)</f>
        <v>120.760320726803</v>
      </c>
      <c r="AF11" s="43" t="n">
        <f aca="false">IF(31&lt;Assumptions!$C$49,0,'Physical Business'!AF23)</f>
        <v>121.0885706196</v>
      </c>
      <c r="AG11" s="43" t="n">
        <f aca="false">IF(32&lt;Assumptions!$C$49,0,'Physical Business'!AG23)</f>
        <v>121.423385510253</v>
      </c>
      <c r="AH11" s="43" t="n">
        <f aca="false">IF(33&lt;Assumptions!$C$49,0,'Physical Business'!AH23)</f>
        <v>121.764896698719</v>
      </c>
      <c r="AI11" s="43" t="n">
        <f aca="false">IF(34&lt;Assumptions!$C$49,0,'Physical Business'!AI23)</f>
        <v>122.113238110954</v>
      </c>
      <c r="AJ11" s="43" t="n">
        <f aca="false">IF(35&lt;Assumptions!$C$49,0,'Physical Business'!AJ23)</f>
        <v>122.468546351434</v>
      </c>
      <c r="AK11" s="43" t="n">
        <f aca="false">IF(36&lt;Assumptions!$C$49,0,'Physical Business'!AK23)</f>
        <v>122.830960756724</v>
      </c>
    </row>
    <row r="12" customFormat="false" ht="15" hidden="false" customHeight="true" outlineLevel="0" collapsed="false">
      <c r="A12" s="4" t="s">
        <v>348</v>
      </c>
      <c r="B12" s="43" t="n">
        <f aca="false">IF(AND(1&gt;=Assumptions!$C$49,1&lt;=Assumptions!$C$50),Assumptions!$F$20,0)</f>
        <v>0</v>
      </c>
      <c r="C12" s="43" t="n">
        <f aca="false">IF(AND(2&gt;=Assumptions!$C$49,2&lt;=Assumptions!$C$50),Assumptions!$F$20,0)</f>
        <v>0</v>
      </c>
      <c r="D12" s="43" t="n">
        <f aca="false">IF(AND(3&gt;=Assumptions!$C$49,3&lt;=Assumptions!$C$50),Assumptions!$F$20,0)</f>
        <v>0</v>
      </c>
      <c r="E12" s="43" t="n">
        <f aca="false">IF(AND(4&gt;=Assumptions!$C$49,4&lt;=Assumptions!$C$50),Assumptions!$F$20,0)</f>
        <v>50</v>
      </c>
      <c r="F12" s="43" t="n">
        <f aca="false">IF(AND(5&gt;=Assumptions!$C$49,5&lt;=Assumptions!$C$50),Assumptions!$F$20,0)</f>
        <v>50</v>
      </c>
      <c r="G12" s="43" t="n">
        <f aca="false">IF(AND(6&gt;=Assumptions!$C$49,6&lt;=Assumptions!$C$50),Assumptions!$F$20,0)</f>
        <v>50</v>
      </c>
      <c r="H12" s="43" t="n">
        <f aca="false">IF(AND(7&gt;=Assumptions!$C$49,7&lt;=Assumptions!$C$50),Assumptions!$F$20,0)</f>
        <v>0</v>
      </c>
      <c r="I12" s="43" t="n">
        <f aca="false">IF(AND(8&gt;=Assumptions!$C$49,8&lt;=Assumptions!$C$50),Assumptions!$F$20,0)</f>
        <v>0</v>
      </c>
      <c r="J12" s="43" t="n">
        <f aca="false">IF(AND(9&gt;=Assumptions!$C$49,9&lt;=Assumptions!$C$50),Assumptions!$F$20,0)</f>
        <v>0</v>
      </c>
      <c r="K12" s="43" t="n">
        <f aca="false">IF(AND(10&gt;=Assumptions!$C$49,10&lt;=Assumptions!$C$50),Assumptions!$F$20,0)</f>
        <v>0</v>
      </c>
      <c r="L12" s="43" t="n">
        <f aca="false">IF(AND(11&gt;=Assumptions!$C$49,11&lt;=Assumptions!$C$50),Assumptions!$F$20,0)</f>
        <v>0</v>
      </c>
      <c r="M12" s="43" t="n">
        <f aca="false">IF(AND(12&gt;=Assumptions!$C$49,12&lt;=Assumptions!$C$50),Assumptions!$F$20,0)</f>
        <v>0</v>
      </c>
      <c r="N12" s="43" t="n">
        <f aca="false">IF(AND(13&gt;=Assumptions!$C$49,13&lt;=Assumptions!$C$50),Assumptions!$F$20,0)</f>
        <v>0</v>
      </c>
      <c r="O12" s="43" t="n">
        <f aca="false">IF(AND(14&gt;=Assumptions!$C$49,14&lt;=Assumptions!$C$50),Assumptions!$F$20,0)</f>
        <v>0</v>
      </c>
      <c r="P12" s="43" t="n">
        <f aca="false">IF(AND(15&gt;=Assumptions!$C$49,15&lt;=Assumptions!$C$50),Assumptions!$F$20,0)</f>
        <v>0</v>
      </c>
      <c r="Q12" s="43" t="n">
        <f aca="false">IF(AND(16&gt;=Assumptions!$C$49,16&lt;=Assumptions!$C$50),Assumptions!$F$20,0)</f>
        <v>0</v>
      </c>
      <c r="R12" s="43" t="n">
        <f aca="false">IF(AND(17&gt;=Assumptions!$C$49,17&lt;=Assumptions!$C$50),Assumptions!$F$20,0)</f>
        <v>0</v>
      </c>
      <c r="S12" s="43" t="n">
        <f aca="false">IF(AND(18&gt;=Assumptions!$C$49,18&lt;=Assumptions!$C$50),Assumptions!$F$20,0)</f>
        <v>0</v>
      </c>
      <c r="T12" s="43" t="n">
        <f aca="false">IF(AND(19&gt;=Assumptions!$C$49,19&lt;=Assumptions!$C$50),Assumptions!$F$20,0)</f>
        <v>0</v>
      </c>
      <c r="U12" s="43" t="n">
        <f aca="false">IF(AND(20&gt;=Assumptions!$C$49,20&lt;=Assumptions!$C$50),Assumptions!$F$20,0)</f>
        <v>0</v>
      </c>
      <c r="V12" s="43" t="n">
        <f aca="false">IF(AND(21&gt;=Assumptions!$C$49,21&lt;=Assumptions!$C$50),Assumptions!$F$20,0)</f>
        <v>0</v>
      </c>
      <c r="W12" s="43" t="n">
        <f aca="false">IF(AND(22&gt;=Assumptions!$C$49,22&lt;=Assumptions!$C$50),Assumptions!$F$20,0)</f>
        <v>0</v>
      </c>
      <c r="X12" s="43" t="n">
        <f aca="false">IF(AND(23&gt;=Assumptions!$C$49,23&lt;=Assumptions!$C$50),Assumptions!$F$20,0)</f>
        <v>0</v>
      </c>
      <c r="Y12" s="43" t="n">
        <f aca="false">IF(AND(24&gt;=Assumptions!$C$49,24&lt;=Assumptions!$C$50),Assumptions!$F$20,0)</f>
        <v>0</v>
      </c>
      <c r="Z12" s="43" t="n">
        <f aca="false">IF(AND(25&gt;=Assumptions!$C$49,25&lt;=Assumptions!$C$50),Assumptions!$F$20,0)</f>
        <v>0</v>
      </c>
      <c r="AA12" s="43" t="n">
        <f aca="false">IF(AND(26&gt;=Assumptions!$C$49,26&lt;=Assumptions!$C$50),Assumptions!$F$20,0)</f>
        <v>0</v>
      </c>
      <c r="AB12" s="43" t="n">
        <f aca="false">IF(AND(27&gt;=Assumptions!$C$49,27&lt;=Assumptions!$C$50),Assumptions!$F$20,0)</f>
        <v>0</v>
      </c>
      <c r="AC12" s="43" t="n">
        <f aca="false">IF(AND(28&gt;=Assumptions!$C$49,28&lt;=Assumptions!$C$50),Assumptions!$F$20,0)</f>
        <v>0</v>
      </c>
      <c r="AD12" s="43" t="n">
        <f aca="false">IF(AND(29&gt;=Assumptions!$C$49,29&lt;=Assumptions!$C$50),Assumptions!$F$20,0)</f>
        <v>0</v>
      </c>
      <c r="AE12" s="43" t="n">
        <f aca="false">IF(AND(30&gt;=Assumptions!$C$49,30&lt;=Assumptions!$C$50),Assumptions!$F$20,0)</f>
        <v>0</v>
      </c>
      <c r="AF12" s="43" t="n">
        <f aca="false">IF(AND(31&gt;=Assumptions!$C$49,31&lt;=Assumptions!$C$50),Assumptions!$F$20,0)</f>
        <v>0</v>
      </c>
      <c r="AG12" s="43" t="n">
        <f aca="false">IF(AND(32&gt;=Assumptions!$C$49,32&lt;=Assumptions!$C$50),Assumptions!$F$20,0)</f>
        <v>0</v>
      </c>
      <c r="AH12" s="43" t="n">
        <f aca="false">IF(AND(33&gt;=Assumptions!$C$49,33&lt;=Assumptions!$C$50),Assumptions!$F$20,0)</f>
        <v>0</v>
      </c>
      <c r="AI12" s="43" t="n">
        <f aca="false">IF(AND(34&gt;=Assumptions!$C$49,34&lt;=Assumptions!$C$50),Assumptions!$F$20,0)</f>
        <v>0</v>
      </c>
      <c r="AJ12" s="43" t="n">
        <f aca="false">IF(AND(35&gt;=Assumptions!$C$49,35&lt;=Assumptions!$C$50),Assumptions!$F$20,0)</f>
        <v>0</v>
      </c>
      <c r="AK12" s="43" t="n">
        <f aca="false">IF(AND(36&gt;=Assumptions!$C$49,36&lt;=Assumptions!$C$50),Assumptions!$F$20,0)</f>
        <v>0</v>
      </c>
    </row>
    <row r="13" customFormat="false" ht="15" hidden="false" customHeight="true" outlineLevel="0" collapsed="false">
      <c r="A13" s="4" t="s">
        <v>349</v>
      </c>
      <c r="B13" s="44" t="n">
        <f aca="false">IF(1&lt;Assumptions!$C$51,0,IF(Assumptions!$E$5="Test",IF(1&lt;19,Assumptions!$C$64,Assumptions!$C$65),IF(1&lt;19,Assumptions!$F$21,Assumptions!$F$22)))</f>
        <v>0</v>
      </c>
      <c r="C13" s="44" t="n">
        <f aca="false">IF(2&lt;Assumptions!$C$51,0,IF(Assumptions!$E$5="Test",IF(2&lt;19,Assumptions!$C$64,Assumptions!$C$65),IF(2&lt;19,Assumptions!$F$21,Assumptions!$F$22)))</f>
        <v>0</v>
      </c>
      <c r="D13" s="44" t="n">
        <f aca="false">IF(3&lt;Assumptions!$C$51,0,IF(Assumptions!$E$5="Test",IF(3&lt;19,Assumptions!$C$64,Assumptions!$C$65),IF(3&lt;19,Assumptions!$F$21,Assumptions!$F$22)))</f>
        <v>0</v>
      </c>
      <c r="E13" s="44" t="n">
        <f aca="false">IF(4&lt;Assumptions!$C$51,0,IF(Assumptions!$E$5="Test",IF(4&lt;19,Assumptions!$C$64,Assumptions!$C$65),IF(4&lt;19,Assumptions!$F$21,Assumptions!$F$22)))</f>
        <v>0</v>
      </c>
      <c r="F13" s="44" t="n">
        <f aca="false">IF(5&lt;Assumptions!$C$51,0,IF(Assumptions!$E$5="Test",IF(5&lt;19,Assumptions!$C$64,Assumptions!$C$65),IF(5&lt;19,Assumptions!$F$21,Assumptions!$F$22)))</f>
        <v>0</v>
      </c>
      <c r="G13" s="44" t="n">
        <f aca="false">IF(6&lt;Assumptions!$C$51,0,IF(Assumptions!$E$5="Test",IF(6&lt;19,Assumptions!$C$64,Assumptions!$C$65),IF(6&lt;19,Assumptions!$F$21,Assumptions!$F$22)))</f>
        <v>0</v>
      </c>
      <c r="H13" s="44" t="n">
        <f aca="false">IF(7&lt;Assumptions!$C$51,0,IF(Assumptions!$E$5="Test",IF(7&lt;19,Assumptions!$C$64,Assumptions!$C$65),IF(7&lt;19,Assumptions!$F$21,Assumptions!$F$22)))</f>
        <v>4000</v>
      </c>
      <c r="I13" s="44" t="n">
        <f aca="false">IF(8&lt;Assumptions!$C$51,0,IF(Assumptions!$E$5="Test",IF(8&lt;19,Assumptions!$C$64,Assumptions!$C$65),IF(8&lt;19,Assumptions!$F$21,Assumptions!$F$22)))</f>
        <v>4000</v>
      </c>
      <c r="J13" s="44" t="n">
        <f aca="false">IF(9&lt;Assumptions!$C$51,0,IF(Assumptions!$E$5="Test",IF(9&lt;19,Assumptions!$C$64,Assumptions!$C$65),IF(9&lt;19,Assumptions!$F$21,Assumptions!$F$22)))</f>
        <v>4000</v>
      </c>
      <c r="K13" s="44" t="n">
        <f aca="false">IF(10&lt;Assumptions!$C$51,0,IF(Assumptions!$E$5="Test",IF(10&lt;19,Assumptions!$C$64,Assumptions!$C$65),IF(10&lt;19,Assumptions!$F$21,Assumptions!$F$22)))</f>
        <v>4000</v>
      </c>
      <c r="L13" s="44" t="n">
        <f aca="false">IF(11&lt;Assumptions!$C$51,0,IF(Assumptions!$E$5="Test",IF(11&lt;19,Assumptions!$C$64,Assumptions!$C$65),IF(11&lt;19,Assumptions!$F$21,Assumptions!$F$22)))</f>
        <v>4000</v>
      </c>
      <c r="M13" s="44" t="n">
        <f aca="false">IF(12&lt;Assumptions!$C$51,0,IF(Assumptions!$E$5="Test",IF(12&lt;19,Assumptions!$C$64,Assumptions!$C$65),IF(12&lt;19,Assumptions!$F$21,Assumptions!$F$22)))</f>
        <v>4000</v>
      </c>
      <c r="N13" s="44" t="n">
        <f aca="false">IF(13&lt;Assumptions!$C$51,0,IF(Assumptions!$E$5="Test",IF(13&lt;19,Assumptions!$C$64,Assumptions!$C$65),IF(13&lt;19,Assumptions!$F$21,Assumptions!$F$22)))</f>
        <v>4000</v>
      </c>
      <c r="O13" s="44" t="n">
        <f aca="false">IF(14&lt;Assumptions!$C$51,0,IF(Assumptions!$E$5="Test",IF(14&lt;19,Assumptions!$C$64,Assumptions!$C$65),IF(14&lt;19,Assumptions!$F$21,Assumptions!$F$22)))</f>
        <v>4000</v>
      </c>
      <c r="P13" s="44" t="n">
        <f aca="false">IF(15&lt;Assumptions!$C$51,0,IF(Assumptions!$E$5="Test",IF(15&lt;19,Assumptions!$C$64,Assumptions!$C$65),IF(15&lt;19,Assumptions!$F$21,Assumptions!$F$22)))</f>
        <v>4000</v>
      </c>
      <c r="Q13" s="44" t="n">
        <f aca="false">IF(16&lt;Assumptions!$C$51,0,IF(Assumptions!$E$5="Test",IF(16&lt;19,Assumptions!$C$64,Assumptions!$C$65),IF(16&lt;19,Assumptions!$F$21,Assumptions!$F$22)))</f>
        <v>4000</v>
      </c>
      <c r="R13" s="44" t="n">
        <f aca="false">IF(17&lt;Assumptions!$C$51,0,IF(Assumptions!$E$5="Test",IF(17&lt;19,Assumptions!$C$64,Assumptions!$C$65),IF(17&lt;19,Assumptions!$F$21,Assumptions!$F$22)))</f>
        <v>4000</v>
      </c>
      <c r="S13" s="44" t="n">
        <f aca="false">IF(18&lt;Assumptions!$C$51,0,IF(Assumptions!$E$5="Test",IF(18&lt;19,Assumptions!$C$64,Assumptions!$C$65),IF(18&lt;19,Assumptions!$F$21,Assumptions!$F$22)))</f>
        <v>4000</v>
      </c>
      <c r="T13" s="44" t="n">
        <f aca="false">IF(19&lt;Assumptions!$C$51,0,IF(Assumptions!$E$5="Test",IF(19&lt;19,Assumptions!$C$64,Assumptions!$C$65),IF(19&lt;19,Assumptions!$F$21,Assumptions!$F$22)))</f>
        <v>6000</v>
      </c>
      <c r="U13" s="44" t="n">
        <f aca="false">IF(20&lt;Assumptions!$C$51,0,IF(Assumptions!$E$5="Test",IF(20&lt;19,Assumptions!$C$64,Assumptions!$C$65),IF(20&lt;19,Assumptions!$F$21,Assumptions!$F$22)))</f>
        <v>6000</v>
      </c>
      <c r="V13" s="44" t="n">
        <f aca="false">IF(21&lt;Assumptions!$C$51,0,IF(Assumptions!$E$5="Test",IF(21&lt;19,Assumptions!$C$64,Assumptions!$C$65),IF(21&lt;19,Assumptions!$F$21,Assumptions!$F$22)))</f>
        <v>6000</v>
      </c>
      <c r="W13" s="44" t="n">
        <f aca="false">IF(22&lt;Assumptions!$C$51,0,IF(Assumptions!$E$5="Test",IF(22&lt;19,Assumptions!$C$64,Assumptions!$C$65),IF(22&lt;19,Assumptions!$F$21,Assumptions!$F$22)))</f>
        <v>6000</v>
      </c>
      <c r="X13" s="44" t="n">
        <f aca="false">IF(23&lt;Assumptions!$C$51,0,IF(Assumptions!$E$5="Test",IF(23&lt;19,Assumptions!$C$64,Assumptions!$C$65),IF(23&lt;19,Assumptions!$F$21,Assumptions!$F$22)))</f>
        <v>6000</v>
      </c>
      <c r="Y13" s="44" t="n">
        <f aca="false">IF(24&lt;Assumptions!$C$51,0,IF(Assumptions!$E$5="Test",IF(24&lt;19,Assumptions!$C$64,Assumptions!$C$65),IF(24&lt;19,Assumptions!$F$21,Assumptions!$F$22)))</f>
        <v>6000</v>
      </c>
      <c r="Z13" s="44" t="n">
        <f aca="false">IF(25&lt;Assumptions!$C$51,0,IF(Assumptions!$E$5="Test",IF(25&lt;19,Assumptions!$C$64,Assumptions!$C$65),IF(25&lt;19,Assumptions!$F$21,Assumptions!$F$22)))</f>
        <v>6000</v>
      </c>
      <c r="AA13" s="44" t="n">
        <f aca="false">IF(26&lt;Assumptions!$C$51,0,IF(Assumptions!$E$5="Test",IF(26&lt;19,Assumptions!$C$64,Assumptions!$C$65),IF(26&lt;19,Assumptions!$F$21,Assumptions!$F$22)))</f>
        <v>6000</v>
      </c>
      <c r="AB13" s="44" t="n">
        <f aca="false">IF(27&lt;Assumptions!$C$51,0,IF(Assumptions!$E$5="Test",IF(27&lt;19,Assumptions!$C$64,Assumptions!$C$65),IF(27&lt;19,Assumptions!$F$21,Assumptions!$F$22)))</f>
        <v>6000</v>
      </c>
      <c r="AC13" s="44" t="n">
        <f aca="false">IF(28&lt;Assumptions!$C$51,0,IF(Assumptions!$E$5="Test",IF(28&lt;19,Assumptions!$C$64,Assumptions!$C$65),IF(28&lt;19,Assumptions!$F$21,Assumptions!$F$22)))</f>
        <v>6000</v>
      </c>
      <c r="AD13" s="44" t="n">
        <f aca="false">IF(29&lt;Assumptions!$C$51,0,IF(Assumptions!$E$5="Test",IF(29&lt;19,Assumptions!$C$64,Assumptions!$C$65),IF(29&lt;19,Assumptions!$F$21,Assumptions!$F$22)))</f>
        <v>6000</v>
      </c>
      <c r="AE13" s="44" t="n">
        <f aca="false">IF(30&lt;Assumptions!$C$51,0,IF(Assumptions!$E$5="Test",IF(30&lt;19,Assumptions!$C$64,Assumptions!$C$65),IF(30&lt;19,Assumptions!$F$21,Assumptions!$F$22)))</f>
        <v>6000</v>
      </c>
      <c r="AF13" s="44" t="n">
        <f aca="false">IF(31&lt;Assumptions!$C$51,0,IF(Assumptions!$E$5="Test",IF(31&lt;19,Assumptions!$C$64,Assumptions!$C$65),IF(31&lt;19,Assumptions!$F$21,Assumptions!$F$22)))</f>
        <v>6000</v>
      </c>
      <c r="AG13" s="44" t="n">
        <f aca="false">IF(32&lt;Assumptions!$C$51,0,IF(Assumptions!$E$5="Test",IF(32&lt;19,Assumptions!$C$64,Assumptions!$C$65),IF(32&lt;19,Assumptions!$F$21,Assumptions!$F$22)))</f>
        <v>6000</v>
      </c>
      <c r="AH13" s="44" t="n">
        <f aca="false">IF(33&lt;Assumptions!$C$51,0,IF(Assumptions!$E$5="Test",IF(33&lt;19,Assumptions!$C$64,Assumptions!$C$65),IF(33&lt;19,Assumptions!$F$21,Assumptions!$F$22)))</f>
        <v>6000</v>
      </c>
      <c r="AI13" s="44" t="n">
        <f aca="false">IF(34&lt;Assumptions!$C$51,0,IF(Assumptions!$E$5="Test",IF(34&lt;19,Assumptions!$C$64,Assumptions!$C$65),IF(34&lt;19,Assumptions!$F$21,Assumptions!$F$22)))</f>
        <v>6000</v>
      </c>
      <c r="AJ13" s="44" t="n">
        <f aca="false">IF(35&lt;Assumptions!$C$51,0,IF(Assumptions!$E$5="Test",IF(35&lt;19,Assumptions!$C$64,Assumptions!$C$65),IF(35&lt;19,Assumptions!$F$21,Assumptions!$F$22)))</f>
        <v>6000</v>
      </c>
      <c r="AK13" s="44" t="n">
        <f aca="false">IF(36&lt;Assumptions!$C$51,0,IF(Assumptions!$E$5="Test",IF(36&lt;19,Assumptions!$C$64,Assumptions!$C$65),IF(36&lt;19,Assumptions!$F$21,Assumptions!$F$22)))</f>
        <v>6000</v>
      </c>
    </row>
    <row r="14" customFormat="false" ht="15" hidden="false" customHeight="true" outlineLevel="0" collapsed="false">
      <c r="A14" s="4" t="s">
        <v>350</v>
      </c>
      <c r="B14" s="43" t="n">
        <f aca="false">B13/Assumptions!$C$68</f>
        <v>0</v>
      </c>
      <c r="C14" s="43" t="n">
        <f aca="false">C13/Assumptions!$C$68</f>
        <v>0</v>
      </c>
      <c r="D14" s="43" t="n">
        <f aca="false">D13/Assumptions!$C$68</f>
        <v>0</v>
      </c>
      <c r="E14" s="43" t="n">
        <f aca="false">E13/Assumptions!$C$68</f>
        <v>0</v>
      </c>
      <c r="F14" s="43" t="n">
        <f aca="false">F13/Assumptions!$C$68</f>
        <v>0</v>
      </c>
      <c r="G14" s="43" t="n">
        <f aca="false">G13/Assumptions!$C$68</f>
        <v>0</v>
      </c>
      <c r="H14" s="43" t="n">
        <f aca="false">H13/Assumptions!$C$68</f>
        <v>178.571428571429</v>
      </c>
      <c r="I14" s="43" t="n">
        <f aca="false">I13/Assumptions!$C$68</f>
        <v>178.571428571429</v>
      </c>
      <c r="J14" s="43" t="n">
        <f aca="false">J13/Assumptions!$C$68</f>
        <v>178.571428571429</v>
      </c>
      <c r="K14" s="43" t="n">
        <f aca="false">K13/Assumptions!$C$68</f>
        <v>178.571428571429</v>
      </c>
      <c r="L14" s="43" t="n">
        <f aca="false">L13/Assumptions!$C$68</f>
        <v>178.571428571429</v>
      </c>
      <c r="M14" s="43" t="n">
        <f aca="false">M13/Assumptions!$C$68</f>
        <v>178.571428571429</v>
      </c>
      <c r="N14" s="43" t="n">
        <f aca="false">N13/Assumptions!$C$68</f>
        <v>178.571428571429</v>
      </c>
      <c r="O14" s="43" t="n">
        <f aca="false">O13/Assumptions!$C$68</f>
        <v>178.571428571429</v>
      </c>
      <c r="P14" s="43" t="n">
        <f aca="false">P13/Assumptions!$C$68</f>
        <v>178.571428571429</v>
      </c>
      <c r="Q14" s="43" t="n">
        <f aca="false">Q13/Assumptions!$C$68</f>
        <v>178.571428571429</v>
      </c>
      <c r="R14" s="43" t="n">
        <f aca="false">R13/Assumptions!$C$68</f>
        <v>178.571428571429</v>
      </c>
      <c r="S14" s="43" t="n">
        <f aca="false">S13/Assumptions!$C$68</f>
        <v>178.571428571429</v>
      </c>
      <c r="T14" s="43" t="n">
        <f aca="false">T13/Assumptions!$C$68</f>
        <v>267.857142857143</v>
      </c>
      <c r="U14" s="43" t="n">
        <f aca="false">U13/Assumptions!$C$68</f>
        <v>267.857142857143</v>
      </c>
      <c r="V14" s="43" t="n">
        <f aca="false">V13/Assumptions!$C$68</f>
        <v>267.857142857143</v>
      </c>
      <c r="W14" s="43" t="n">
        <f aca="false">W13/Assumptions!$C$68</f>
        <v>267.857142857143</v>
      </c>
      <c r="X14" s="43" t="n">
        <f aca="false">X13/Assumptions!$C$68</f>
        <v>267.857142857143</v>
      </c>
      <c r="Y14" s="43" t="n">
        <f aca="false">Y13/Assumptions!$C$68</f>
        <v>267.857142857143</v>
      </c>
      <c r="Z14" s="43" t="n">
        <f aca="false">Z13/Assumptions!$C$68</f>
        <v>267.857142857143</v>
      </c>
      <c r="AA14" s="43" t="n">
        <f aca="false">AA13/Assumptions!$C$68</f>
        <v>267.857142857143</v>
      </c>
      <c r="AB14" s="43" t="n">
        <f aca="false">AB13/Assumptions!$C$68</f>
        <v>267.857142857143</v>
      </c>
      <c r="AC14" s="43" t="n">
        <f aca="false">AC13/Assumptions!$C$68</f>
        <v>267.857142857143</v>
      </c>
      <c r="AD14" s="43" t="n">
        <f aca="false">AD13/Assumptions!$C$68</f>
        <v>267.857142857143</v>
      </c>
      <c r="AE14" s="43" t="n">
        <f aca="false">AE13/Assumptions!$C$68</f>
        <v>267.857142857143</v>
      </c>
      <c r="AF14" s="43" t="n">
        <f aca="false">AF13/Assumptions!$C$68</f>
        <v>267.857142857143</v>
      </c>
      <c r="AG14" s="43" t="n">
        <f aca="false">AG13/Assumptions!$C$68</f>
        <v>267.857142857143</v>
      </c>
      <c r="AH14" s="43" t="n">
        <f aca="false">AH13/Assumptions!$C$68</f>
        <v>267.857142857143</v>
      </c>
      <c r="AI14" s="43" t="n">
        <f aca="false">AI13/Assumptions!$C$68</f>
        <v>267.857142857143</v>
      </c>
      <c r="AJ14" s="43" t="n">
        <f aca="false">AJ13/Assumptions!$C$68</f>
        <v>267.857142857143</v>
      </c>
      <c r="AK14" s="43" t="n">
        <f aca="false">AK13/Assumptions!$C$68</f>
        <v>267.857142857143</v>
      </c>
    </row>
    <row r="15" customFormat="false" ht="15" hidden="false" customHeight="true" outlineLevel="0" collapsed="false">
      <c r="A15" s="14" t="s">
        <v>351</v>
      </c>
      <c r="B15" s="46" t="n">
        <f aca="false">SUM(B10:B12,B14)</f>
        <v>0</v>
      </c>
      <c r="C15" s="46" t="n">
        <f aca="false">SUM(C10:C12,C14)</f>
        <v>0</v>
      </c>
      <c r="D15" s="46" t="n">
        <f aca="false">SUM(D10:D12,D14)</f>
        <v>0</v>
      </c>
      <c r="E15" s="46" t="n">
        <f aca="false">SUM(E10:E12,E14)</f>
        <v>199.868227391304</v>
      </c>
      <c r="F15" s="46" t="n">
        <f aca="false">SUM(F10:F12,F14)</f>
        <v>199.971257491304</v>
      </c>
      <c r="G15" s="46" t="n">
        <f aca="false">SUM(G10:G12,G14)</f>
        <v>200.075317892304</v>
      </c>
      <c r="H15" s="46" t="n">
        <f aca="false">SUM(H10:H12,H14)</f>
        <v>354.838803990482</v>
      </c>
      <c r="I15" s="46" t="n">
        <f aca="false">SUM(I10:I12,I14)</f>
        <v>354.944956005542</v>
      </c>
      <c r="J15" s="46" t="n">
        <f aca="false">SUM(J10:J12,J14)</f>
        <v>355.052169540753</v>
      </c>
      <c r="K15" s="46" t="n">
        <f aca="false">SUM(K10:K12,K14)</f>
        <v>285.268740881878</v>
      </c>
      <c r="L15" s="46" t="n">
        <f aca="false">SUM(L10:L12,L14)</f>
        <v>285.489643649827</v>
      </c>
      <c r="M15" s="46" t="n">
        <f aca="false">SUM(M10:M12,M14)</f>
        <v>285.714964473134</v>
      </c>
      <c r="N15" s="46" t="n">
        <f aca="false">SUM(N10:N12,N14)</f>
        <v>294.64044388682</v>
      </c>
      <c r="O15" s="46" t="n">
        <f aca="false">SUM(O10:O12,O14)</f>
        <v>294.874867671389</v>
      </c>
      <c r="P15" s="46" t="n">
        <f aca="false">SUM(P10:P12,P14)</f>
        <v>295.113979931649</v>
      </c>
      <c r="Q15" s="46" t="n">
        <f aca="false">SUM(Q10:Q12,Q14)</f>
        <v>295.357874437114</v>
      </c>
      <c r="R15" s="46" t="n">
        <f aca="false">SUM(R10:R12,R14)</f>
        <v>295.606646832689</v>
      </c>
      <c r="S15" s="46" t="n">
        <f aca="false">SUM(S10:S12,S14)</f>
        <v>295.860394676175</v>
      </c>
      <c r="T15" s="46" t="n">
        <f aca="false">SUM(T10:T12,T14)</f>
        <v>385.404931762245</v>
      </c>
      <c r="U15" s="46" t="n">
        <f aca="false">SUM(U10:U12,U14)</f>
        <v>385.668931018608</v>
      </c>
      <c r="V15" s="46" t="n">
        <f aca="false">SUM(V10:V12,V14)</f>
        <v>385.938210260098</v>
      </c>
      <c r="W15" s="46" t="n">
        <f aca="false">SUM(W10:W12,W14)</f>
        <v>386.212875086418</v>
      </c>
      <c r="X15" s="46" t="n">
        <f aca="false">SUM(X10:X12,X14)</f>
        <v>386.493033209264</v>
      </c>
      <c r="Y15" s="46" t="n">
        <f aca="false">SUM(Y10:Y12,Y14)</f>
        <v>386.778794494568</v>
      </c>
      <c r="Z15" s="46" t="n">
        <f aca="false">SUM(Z10:Z12,Z14)</f>
        <v>387.070271005577</v>
      </c>
      <c r="AA15" s="46" t="n">
        <f aca="false">SUM(AA10:AA12,AA14)</f>
        <v>387.367577046806</v>
      </c>
      <c r="AB15" s="46" t="n">
        <f aca="false">SUM(AB10:AB12,AB14)</f>
        <v>387.670829208861</v>
      </c>
      <c r="AC15" s="46" t="n">
        <f aca="false">SUM(AC10:AC12,AC14)</f>
        <v>387.980146414156</v>
      </c>
      <c r="AD15" s="46" t="n">
        <f aca="false">SUM(AD10:AD12,AD14)</f>
        <v>388.295649963557</v>
      </c>
      <c r="AE15" s="46" t="n">
        <f aca="false">SUM(AE10:AE12,AE14)</f>
        <v>388.617463583946</v>
      </c>
      <c r="AF15" s="46" t="n">
        <f aca="false">SUM(AF10:AF12,AF14)</f>
        <v>388.945713476743</v>
      </c>
      <c r="AG15" s="46" t="n">
        <f aca="false">SUM(AG10:AG12,AG14)</f>
        <v>389.280528367396</v>
      </c>
      <c r="AH15" s="46" t="n">
        <f aca="false">SUM(AH10:AH12,AH14)</f>
        <v>389.622039555862</v>
      </c>
      <c r="AI15" s="46" t="n">
        <f aca="false">SUM(AI10:AI12,AI14)</f>
        <v>389.970380968097</v>
      </c>
      <c r="AJ15" s="46" t="n">
        <f aca="false">SUM(AJ10:AJ12,AJ14)</f>
        <v>390.325689208577</v>
      </c>
      <c r="AK15" s="46" t="n">
        <f aca="false">SUM(AK10:AK12,AK14)</f>
        <v>390.688103613867</v>
      </c>
    </row>
    <row r="16" customFormat="false" ht="15" hidden="false" customHeight="true" outlineLevel="0" collapsed="false">
      <c r="A16" s="4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</row>
    <row r="17" customFormat="false" ht="15" hidden="false" customHeight="true" outlineLevel="0" collapsed="false">
      <c r="A17" s="4" t="s">
        <v>352</v>
      </c>
      <c r="B17" s="43" t="n">
        <f aca="false">SUM(B10:B11)*Assumptions!$F$11</f>
        <v>0</v>
      </c>
      <c r="C17" s="43" t="n">
        <f aca="false">SUM(C10:C11)*Assumptions!$F$11</f>
        <v>0</v>
      </c>
      <c r="D17" s="43" t="n">
        <f aca="false">SUM(D10:D11)*Assumptions!$F$11</f>
        <v>0</v>
      </c>
      <c r="E17" s="43" t="n">
        <f aca="false">SUM(E10:E11)*Assumptions!$F$11</f>
        <v>44.9604682173913</v>
      </c>
      <c r="F17" s="43" t="n">
        <f aca="false">SUM(F10:F11)*Assumptions!$F$11</f>
        <v>44.9913772473913</v>
      </c>
      <c r="G17" s="43" t="n">
        <f aca="false">SUM(G10:G11)*Assumptions!$F$11</f>
        <v>45.0225953676913</v>
      </c>
      <c r="H17" s="43" t="n">
        <f aca="false">SUM(H10:H11)*Assumptions!$F$11</f>
        <v>52.880212625716</v>
      </c>
      <c r="I17" s="43" t="n">
        <f aca="false">SUM(I10:I11)*Assumptions!$F$11</f>
        <v>52.9120582302341</v>
      </c>
      <c r="J17" s="43" t="n">
        <f aca="false">SUM(J10:J11)*Assumptions!$F$11</f>
        <v>52.9442222907973</v>
      </c>
      <c r="K17" s="43" t="n">
        <f aca="false">SUM(K10:K11)*Assumptions!$F$11</f>
        <v>32.009193693135</v>
      </c>
      <c r="L17" s="43" t="n">
        <f aca="false">SUM(L10:L11)*Assumptions!$F$11</f>
        <v>32.0754645235194</v>
      </c>
      <c r="M17" s="43" t="n">
        <f aca="false">SUM(M10:M11)*Assumptions!$F$11</f>
        <v>32.1430607705115</v>
      </c>
      <c r="N17" s="43" t="n">
        <f aca="false">SUM(N10:N11)*Assumptions!$F$11</f>
        <v>34.8207045946174</v>
      </c>
      <c r="O17" s="43" t="n">
        <f aca="false">SUM(O10:O11)*Assumptions!$F$11</f>
        <v>34.891031729988</v>
      </c>
      <c r="P17" s="43" t="n">
        <f aca="false">SUM(P10:P11)*Assumptions!$F$11</f>
        <v>34.9627654080661</v>
      </c>
      <c r="Q17" s="43" t="n">
        <f aca="false">SUM(Q10:Q11)*Assumptions!$F$11</f>
        <v>35.0359337597056</v>
      </c>
      <c r="R17" s="43" t="n">
        <f aca="false">SUM(R10:R11)*Assumptions!$F$11</f>
        <v>35.110565478378</v>
      </c>
      <c r="S17" s="43" t="n">
        <f aca="false">SUM(S10:S11)*Assumptions!$F$11</f>
        <v>35.1866898314238</v>
      </c>
      <c r="T17" s="43" t="n">
        <f aca="false">SUM(T10:T11)*Assumptions!$F$11</f>
        <v>35.2643366715306</v>
      </c>
      <c r="U17" s="43" t="n">
        <f aca="false">SUM(U10:U11)*Assumptions!$F$11</f>
        <v>35.3435364484394</v>
      </c>
      <c r="V17" s="43" t="n">
        <f aca="false">SUM(V10:V11)*Assumptions!$F$11</f>
        <v>35.4243202208865</v>
      </c>
      <c r="W17" s="43" t="n">
        <f aca="false">SUM(W10:W11)*Assumptions!$F$11</f>
        <v>35.5067196687825</v>
      </c>
      <c r="X17" s="43" t="n">
        <f aca="false">SUM(X10:X11)*Assumptions!$F$11</f>
        <v>35.5907671056364</v>
      </c>
      <c r="Y17" s="43" t="n">
        <f aca="false">SUM(Y10:Y11)*Assumptions!$F$11</f>
        <v>35.6764954912274</v>
      </c>
      <c r="Z17" s="43" t="n">
        <f aca="false">SUM(Z10:Z11)*Assumptions!$F$11</f>
        <v>35.7639384445302</v>
      </c>
      <c r="AA17" s="43" t="n">
        <f aca="false">SUM(AA10:AA11)*Assumptions!$F$11</f>
        <v>35.8531302568991</v>
      </c>
      <c r="AB17" s="43" t="n">
        <f aca="false">SUM(AB10:AB11)*Assumptions!$F$11</f>
        <v>35.9441059055153</v>
      </c>
      <c r="AC17" s="43" t="n">
        <f aca="false">SUM(AC10:AC11)*Assumptions!$F$11</f>
        <v>36.0369010671039</v>
      </c>
      <c r="AD17" s="43" t="n">
        <f aca="false">SUM(AD10:AD11)*Assumptions!$F$11</f>
        <v>36.1315521319242</v>
      </c>
      <c r="AE17" s="43" t="n">
        <f aca="false">SUM(AE10:AE11)*Assumptions!$F$11</f>
        <v>36.2280962180409</v>
      </c>
      <c r="AF17" s="43" t="n">
        <f aca="false">SUM(AF10:AF11)*Assumptions!$F$11</f>
        <v>36.32657118588</v>
      </c>
      <c r="AG17" s="43" t="n">
        <f aca="false">SUM(AG10:AG11)*Assumptions!$F$11</f>
        <v>36.4270156530759</v>
      </c>
      <c r="AH17" s="43" t="n">
        <f aca="false">SUM(AH10:AH11)*Assumptions!$F$11</f>
        <v>36.5294690096157</v>
      </c>
      <c r="AI17" s="43" t="n">
        <f aca="false">SUM(AI10:AI11)*Assumptions!$F$11</f>
        <v>36.6339714332862</v>
      </c>
      <c r="AJ17" s="43" t="n">
        <f aca="false">SUM(AJ10:AJ11)*Assumptions!$F$11</f>
        <v>36.7405639054302</v>
      </c>
      <c r="AK17" s="43" t="n">
        <f aca="false">SUM(AK10:AK11)*Assumptions!$F$11</f>
        <v>36.8492882270171</v>
      </c>
    </row>
    <row r="18" customFormat="false" ht="15" hidden="false" customHeight="true" outlineLevel="0" collapsed="false">
      <c r="A18" s="4" t="s">
        <v>353</v>
      </c>
      <c r="B18" s="43" t="n">
        <f aca="false">SUM(B12,B14)*Assumptions!$F$11</f>
        <v>0</v>
      </c>
      <c r="C18" s="43" t="n">
        <f aca="false">SUM(C12,C14)*Assumptions!$F$11</f>
        <v>0</v>
      </c>
      <c r="D18" s="43" t="n">
        <f aca="false">SUM(D12,D14)*Assumptions!$F$11</f>
        <v>0</v>
      </c>
      <c r="E18" s="43" t="n">
        <f aca="false">SUM(E12,E14)*Assumptions!$F$11</f>
        <v>15</v>
      </c>
      <c r="F18" s="43" t="n">
        <f aca="false">SUM(F12,F14)*Assumptions!$F$11</f>
        <v>15</v>
      </c>
      <c r="G18" s="43" t="n">
        <f aca="false">SUM(G12,G14)*Assumptions!$F$11</f>
        <v>15</v>
      </c>
      <c r="H18" s="43" t="n">
        <f aca="false">SUM(H12,H14)*Assumptions!$F$11</f>
        <v>53.5714285714286</v>
      </c>
      <c r="I18" s="43" t="n">
        <f aca="false">SUM(I12,I14)*Assumptions!$F$11</f>
        <v>53.5714285714286</v>
      </c>
      <c r="J18" s="43" t="n">
        <f aca="false">SUM(J12,J14)*Assumptions!$F$11</f>
        <v>53.5714285714286</v>
      </c>
      <c r="K18" s="43" t="n">
        <f aca="false">SUM(K12,K14)*Assumptions!$F$11</f>
        <v>53.5714285714286</v>
      </c>
      <c r="L18" s="43" t="n">
        <f aca="false">SUM(L12,L14)*Assumptions!$F$11</f>
        <v>53.5714285714286</v>
      </c>
      <c r="M18" s="43" t="n">
        <f aca="false">SUM(M12,M14)*Assumptions!$F$11</f>
        <v>53.5714285714286</v>
      </c>
      <c r="N18" s="43" t="n">
        <f aca="false">SUM(N12,N14)*Assumptions!$F$11</f>
        <v>53.5714285714286</v>
      </c>
      <c r="O18" s="43" t="n">
        <f aca="false">SUM(O12,O14)*Assumptions!$F$11</f>
        <v>53.5714285714286</v>
      </c>
      <c r="P18" s="43" t="n">
        <f aca="false">SUM(P12,P14)*Assumptions!$F$11</f>
        <v>53.5714285714286</v>
      </c>
      <c r="Q18" s="43" t="n">
        <f aca="false">SUM(Q12,Q14)*Assumptions!$F$11</f>
        <v>53.5714285714286</v>
      </c>
      <c r="R18" s="43" t="n">
        <f aca="false">SUM(R12,R14)*Assumptions!$F$11</f>
        <v>53.5714285714286</v>
      </c>
      <c r="S18" s="43" t="n">
        <f aca="false">SUM(S12,S14)*Assumptions!$F$11</f>
        <v>53.5714285714286</v>
      </c>
      <c r="T18" s="43" t="n">
        <f aca="false">SUM(T12,T14)*Assumptions!$F$11</f>
        <v>80.3571428571429</v>
      </c>
      <c r="U18" s="43" t="n">
        <f aca="false">SUM(U12,U14)*Assumptions!$F$11</f>
        <v>80.3571428571429</v>
      </c>
      <c r="V18" s="43" t="n">
        <f aca="false">SUM(V12,V14)*Assumptions!$F$11</f>
        <v>80.3571428571429</v>
      </c>
      <c r="W18" s="43" t="n">
        <f aca="false">SUM(W12,W14)*Assumptions!$F$11</f>
        <v>80.3571428571429</v>
      </c>
      <c r="X18" s="43" t="n">
        <f aca="false">SUM(X12,X14)*Assumptions!$F$11</f>
        <v>80.3571428571429</v>
      </c>
      <c r="Y18" s="43" t="n">
        <f aca="false">SUM(Y12,Y14)*Assumptions!$F$11</f>
        <v>80.3571428571429</v>
      </c>
      <c r="Z18" s="43" t="n">
        <f aca="false">SUM(Z12,Z14)*Assumptions!$F$11</f>
        <v>80.3571428571429</v>
      </c>
      <c r="AA18" s="43" t="n">
        <f aca="false">SUM(AA12,AA14)*Assumptions!$F$11</f>
        <v>80.3571428571429</v>
      </c>
      <c r="AB18" s="43" t="n">
        <f aca="false">SUM(AB12,AB14)*Assumptions!$F$11</f>
        <v>80.3571428571429</v>
      </c>
      <c r="AC18" s="43" t="n">
        <f aca="false">SUM(AC12,AC14)*Assumptions!$F$11</f>
        <v>80.3571428571429</v>
      </c>
      <c r="AD18" s="43" t="n">
        <f aca="false">SUM(AD12,AD14)*Assumptions!$F$11</f>
        <v>80.3571428571429</v>
      </c>
      <c r="AE18" s="43" t="n">
        <f aca="false">SUM(AE12,AE14)*Assumptions!$F$11</f>
        <v>80.3571428571429</v>
      </c>
      <c r="AF18" s="43" t="n">
        <f aca="false">SUM(AF12,AF14)*Assumptions!$F$11</f>
        <v>80.3571428571429</v>
      </c>
      <c r="AG18" s="43" t="n">
        <f aca="false">SUM(AG12,AG14)*Assumptions!$F$11</f>
        <v>80.3571428571429</v>
      </c>
      <c r="AH18" s="43" t="n">
        <f aca="false">SUM(AH12,AH14)*Assumptions!$F$11</f>
        <v>80.3571428571429</v>
      </c>
      <c r="AI18" s="43" t="n">
        <f aca="false">SUM(AI12,AI14)*Assumptions!$F$11</f>
        <v>80.3571428571429</v>
      </c>
      <c r="AJ18" s="43" t="n">
        <f aca="false">SUM(AJ12,AJ14)*Assumptions!$F$11</f>
        <v>80.3571428571429</v>
      </c>
      <c r="AK18" s="43" t="n">
        <f aca="false">SUM(AK12,AK14)*Assumptions!$F$11</f>
        <v>80.3571428571429</v>
      </c>
    </row>
    <row r="19" customFormat="false" ht="15" hidden="false" customHeight="true" outlineLevel="0" collapsed="false">
      <c r="A19" s="4" t="s">
        <v>354</v>
      </c>
      <c r="B19" s="43" t="n">
        <f aca="false">B15*(1-Assumptions!$F$11)</f>
        <v>0</v>
      </c>
      <c r="C19" s="43" t="n">
        <f aca="false">C15*(1-Assumptions!$F$11)</f>
        <v>0</v>
      </c>
      <c r="D19" s="43" t="n">
        <f aca="false">D15*(1-Assumptions!$F$11)</f>
        <v>0</v>
      </c>
      <c r="E19" s="43" t="n">
        <f aca="false">E15*(1-Assumptions!$F$11)</f>
        <v>139.907759173913</v>
      </c>
      <c r="F19" s="43" t="n">
        <f aca="false">F15*(1-Assumptions!$F$11)</f>
        <v>139.979880243913</v>
      </c>
      <c r="G19" s="43" t="n">
        <f aca="false">G15*(1-Assumptions!$F$11)</f>
        <v>140.052722524613</v>
      </c>
      <c r="H19" s="43" t="n">
        <f aca="false">H15*(1-Assumptions!$F$11)</f>
        <v>248.387162793337</v>
      </c>
      <c r="I19" s="43" t="n">
        <f aca="false">I15*(1-Assumptions!$F$11)</f>
        <v>248.46146920388</v>
      </c>
      <c r="J19" s="43" t="n">
        <f aca="false">J15*(1-Assumptions!$F$11)</f>
        <v>248.536518678527</v>
      </c>
      <c r="K19" s="43" t="n">
        <f aca="false">K15*(1-Assumptions!$F$11)</f>
        <v>199.688118617315</v>
      </c>
      <c r="L19" s="43" t="n">
        <f aca="false">L15*(1-Assumptions!$F$11)</f>
        <v>199.842750554879</v>
      </c>
      <c r="M19" s="43" t="n">
        <f aca="false">M15*(1-Assumptions!$F$11)</f>
        <v>200.000475131194</v>
      </c>
      <c r="N19" s="43" t="n">
        <f aca="false">N15*(1-Assumptions!$F$11)</f>
        <v>206.248310720774</v>
      </c>
      <c r="O19" s="43" t="n">
        <f aca="false">O15*(1-Assumptions!$F$11)</f>
        <v>206.412407369972</v>
      </c>
      <c r="P19" s="43" t="n">
        <f aca="false">P15*(1-Assumptions!$F$11)</f>
        <v>206.579785952154</v>
      </c>
      <c r="Q19" s="43" t="n">
        <f aca="false">Q15*(1-Assumptions!$F$11)</f>
        <v>206.75051210598</v>
      </c>
      <c r="R19" s="43" t="n">
        <f aca="false">R15*(1-Assumptions!$F$11)</f>
        <v>206.924652782882</v>
      </c>
      <c r="S19" s="43" t="n">
        <f aca="false">S15*(1-Assumptions!$F$11)</f>
        <v>207.102276273322</v>
      </c>
      <c r="T19" s="43" t="n">
        <f aca="false">T15*(1-Assumptions!$F$11)</f>
        <v>269.783452233571</v>
      </c>
      <c r="U19" s="43" t="n">
        <f aca="false">U15*(1-Assumptions!$F$11)</f>
        <v>269.968251713025</v>
      </c>
      <c r="V19" s="43" t="n">
        <f aca="false">V15*(1-Assumptions!$F$11)</f>
        <v>270.156747182068</v>
      </c>
      <c r="W19" s="43" t="n">
        <f aca="false">W15*(1-Assumptions!$F$11)</f>
        <v>270.349012560492</v>
      </c>
      <c r="X19" s="43" t="n">
        <f aca="false">X15*(1-Assumptions!$F$11)</f>
        <v>270.545123246485</v>
      </c>
      <c r="Y19" s="43" t="n">
        <f aca="false">Y15*(1-Assumptions!$F$11)</f>
        <v>270.745156146197</v>
      </c>
      <c r="Z19" s="43" t="n">
        <f aca="false">Z15*(1-Assumptions!$F$11)</f>
        <v>270.949189703904</v>
      </c>
      <c r="AA19" s="43" t="n">
        <f aca="false">AA15*(1-Assumptions!$F$11)</f>
        <v>271.157303932765</v>
      </c>
      <c r="AB19" s="43" t="n">
        <f aca="false">AB15*(1-Assumptions!$F$11)</f>
        <v>271.369580446202</v>
      </c>
      <c r="AC19" s="43" t="n">
        <f aca="false">AC15*(1-Assumptions!$F$11)</f>
        <v>271.586102489909</v>
      </c>
      <c r="AD19" s="43" t="n">
        <f aca="false">AD15*(1-Assumptions!$F$11)</f>
        <v>271.80695497449</v>
      </c>
      <c r="AE19" s="43" t="n">
        <f aca="false">AE15*(1-Assumptions!$F$11)</f>
        <v>272.032224508762</v>
      </c>
      <c r="AF19" s="43" t="n">
        <f aca="false">AF15*(1-Assumptions!$F$11)</f>
        <v>272.26199943372</v>
      </c>
      <c r="AG19" s="43" t="n">
        <f aca="false">AG15*(1-Assumptions!$F$11)</f>
        <v>272.496369857177</v>
      </c>
      <c r="AH19" s="43" t="n">
        <f aca="false">AH15*(1-Assumptions!$F$11)</f>
        <v>272.735427689103</v>
      </c>
      <c r="AI19" s="43" t="n">
        <f aca="false">AI15*(1-Assumptions!$F$11)</f>
        <v>272.979266677668</v>
      </c>
      <c r="AJ19" s="43" t="n">
        <f aca="false">AJ15*(1-Assumptions!$F$11)</f>
        <v>273.227982446004</v>
      </c>
      <c r="AK19" s="43" t="n">
        <f aca="false">AK15*(1-Assumptions!$F$11)</f>
        <v>273.481672529707</v>
      </c>
    </row>
    <row r="20" customFormat="false" ht="15" hidden="false" customHeight="true" outlineLevel="0" collapsed="false">
      <c r="A20" s="4" t="s">
        <v>355</v>
      </c>
      <c r="B20" s="43" t="n">
        <v>0</v>
      </c>
      <c r="C20" s="43" t="n">
        <v>0</v>
      </c>
      <c r="D20" s="43" t="n">
        <v>0</v>
      </c>
      <c r="E20" s="43" t="n">
        <v>0</v>
      </c>
      <c r="F20" s="43" t="n">
        <v>0</v>
      </c>
      <c r="G20" s="43" t="n">
        <v>0</v>
      </c>
      <c r="H20" s="43" t="n">
        <v>0</v>
      </c>
      <c r="I20" s="43" t="n">
        <v>0</v>
      </c>
      <c r="J20" s="43" t="n">
        <v>0</v>
      </c>
      <c r="K20" s="43" t="n">
        <v>0</v>
      </c>
      <c r="L20" s="43" t="n">
        <v>0</v>
      </c>
      <c r="M20" s="43" t="n">
        <v>0</v>
      </c>
      <c r="N20" s="43" t="n">
        <f aca="false">SUM(B17:B18,B20)*Assumptions!$F$13</f>
        <v>0</v>
      </c>
      <c r="O20" s="43" t="n">
        <f aca="false">SUM(C17:C18,C20)*Assumptions!$F$13</f>
        <v>0</v>
      </c>
      <c r="P20" s="43" t="n">
        <f aca="false">SUM(D17:D18,D20)*Assumptions!$F$13</f>
        <v>0</v>
      </c>
      <c r="Q20" s="43" t="n">
        <f aca="false">SUM(E17:E18,E20)*Assumptions!$F$13</f>
        <v>26.9822106978261</v>
      </c>
      <c r="R20" s="43" t="n">
        <f aca="false">SUM(F17:F18,F20)*Assumptions!$F$13</f>
        <v>26.9961197613261</v>
      </c>
      <c r="S20" s="43" t="n">
        <f aca="false">SUM(G17:G18,G20)*Assumptions!$F$13</f>
        <v>27.0101679154611</v>
      </c>
      <c r="T20" s="43" t="n">
        <f aca="false">SUM(H17:H18,H20)*Assumptions!$F$13</f>
        <v>47.9032385387151</v>
      </c>
      <c r="U20" s="43" t="n">
        <f aca="false">SUM(I17:I18,I20)*Assumptions!$F$13</f>
        <v>47.9175690607482</v>
      </c>
      <c r="V20" s="43" t="n">
        <f aca="false">SUM(J17:J18,J20)*Assumptions!$F$13</f>
        <v>47.9320428880016</v>
      </c>
      <c r="W20" s="43" t="n">
        <f aca="false">SUM(K17:K18,K20)*Assumptions!$F$13</f>
        <v>38.5112800190536</v>
      </c>
      <c r="X20" s="43" t="n">
        <f aca="false">SUM(L17:L18,L20)*Assumptions!$F$13</f>
        <v>38.5411018927266</v>
      </c>
      <c r="Y20" s="43" t="n">
        <f aca="false">SUM(M17:M18,M20)*Assumptions!$F$13</f>
        <v>38.5715202038731</v>
      </c>
      <c r="Z20" s="43" t="n">
        <f aca="false">SUM(N17:N18,N20)*Assumptions!$F$13</f>
        <v>39.7764599247207</v>
      </c>
      <c r="AA20" s="43" t="n">
        <f aca="false">SUM(O17:O18,O20)*Assumptions!$F$13</f>
        <v>39.8081071356375</v>
      </c>
      <c r="AB20" s="43" t="n">
        <f aca="false">SUM(P17:P18,P20)*Assumptions!$F$13</f>
        <v>39.8403872907726</v>
      </c>
      <c r="AC20" s="43" t="n">
        <f aca="false">SUM(Q17:Q18,Q20)*Assumptions!$F$13</f>
        <v>52.0153078630321</v>
      </c>
      <c r="AD20" s="43" t="n">
        <f aca="false">SUM(R17:R18,R20)*Assumptions!$F$13</f>
        <v>52.0551512150097</v>
      </c>
      <c r="AE20" s="43" t="n">
        <f aca="false">SUM(S17:S18,S20)*Assumptions!$F$13</f>
        <v>52.0957288432411</v>
      </c>
      <c r="AF20" s="43" t="n">
        <f aca="false">SUM(T17:T18,T20)*Assumptions!$F$13</f>
        <v>73.5861231303248</v>
      </c>
      <c r="AG20" s="43" t="n">
        <f aca="false">SUM(U17:U18,U20)*Assumptions!$F$13</f>
        <v>73.6282117648487</v>
      </c>
      <c r="AH20" s="43" t="n">
        <f aca="false">SUM(V17:V18,V20)*Assumptions!$F$13</f>
        <v>73.671077684714</v>
      </c>
      <c r="AI20" s="43" t="n">
        <f aca="false">SUM(W17:W18,W20)*Assumptions!$F$13</f>
        <v>69.4688141452405</v>
      </c>
      <c r="AJ20" s="43" t="n">
        <f aca="false">SUM(X17:X18,X20)*Assumptions!$F$13</f>
        <v>69.5200553349776</v>
      </c>
      <c r="AK20" s="43" t="n">
        <f aca="false">SUM(Y17:Y18,Y20)*Assumptions!$F$13</f>
        <v>69.5723213485095</v>
      </c>
    </row>
    <row r="21" customFormat="false" ht="15" hidden="false" customHeight="true" outlineLevel="0" collapsed="false">
      <c r="A21" s="4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</row>
    <row r="22" customFormat="false" ht="15" hidden="false" customHeight="true" outlineLevel="0" collapsed="false">
      <c r="A22" s="4" t="s">
        <v>356</v>
      </c>
      <c r="B22" s="45" t="n">
        <f aca="false">0</f>
        <v>0</v>
      </c>
      <c r="C22" s="45" t="n">
        <f aca="false">B24</f>
        <v>0</v>
      </c>
      <c r="D22" s="45" t="n">
        <f aca="false">C24</f>
        <v>0</v>
      </c>
      <c r="E22" s="45" t="n">
        <f aca="false">D24</f>
        <v>0</v>
      </c>
      <c r="F22" s="45" t="n">
        <f aca="false">E24</f>
        <v>139.907759173913</v>
      </c>
      <c r="G22" s="45" t="n">
        <f aca="false">F24</f>
        <v>268.695018683913</v>
      </c>
      <c r="H22" s="45" t="n">
        <f aca="false">G24</f>
        <v>387.252139713813</v>
      </c>
      <c r="I22" s="45" t="n">
        <f aca="false">H24</f>
        <v>604.659131330045</v>
      </c>
      <c r="J22" s="45" t="n">
        <f aca="false">I24</f>
        <v>804.747870027521</v>
      </c>
      <c r="K22" s="45" t="n">
        <f aca="false">J24</f>
        <v>988.904559103847</v>
      </c>
      <c r="L22" s="45" t="n">
        <f aca="false">K24</f>
        <v>1109.48031299285</v>
      </c>
      <c r="M22" s="45" t="n">
        <f aca="false">L24</f>
        <v>1220.5646385083</v>
      </c>
      <c r="N22" s="45" t="n">
        <f aca="false">M24</f>
        <v>1322.91994255883</v>
      </c>
      <c r="O22" s="45" t="n">
        <f aca="false">N24</f>
        <v>1423.3346578749</v>
      </c>
      <c r="P22" s="45" t="n">
        <f aca="false">O24</f>
        <v>1515.88029261488</v>
      </c>
      <c r="Q22" s="45" t="n">
        <f aca="false">P24</f>
        <v>1601.18965515784</v>
      </c>
      <c r="R22" s="45" t="n">
        <f aca="false">Q24</f>
        <v>1679.8449948512</v>
      </c>
      <c r="S22" s="45" t="n">
        <f aca="false">R24</f>
        <v>1752.38204804598</v>
      </c>
      <c r="T22" s="45" t="n">
        <f aca="false">S24</f>
        <v>1819.29376047563</v>
      </c>
      <c r="U22" s="45" t="n">
        <f aca="false">T24</f>
        <v>1943.53371187115</v>
      </c>
      <c r="V22" s="45" t="n">
        <f aca="false">U24</f>
        <v>2058.01926663448</v>
      </c>
      <c r="W22" s="45" t="n">
        <f aca="false">V24</f>
        <v>2163.53447248579</v>
      </c>
      <c r="X22" s="45" t="n">
        <f aca="false">W24</f>
        <v>2260.80072724742</v>
      </c>
      <c r="Y22" s="45" t="n">
        <f aca="false">X24</f>
        <v>2350.48179231411</v>
      </c>
      <c r="Z22" s="45" t="n">
        <f aca="false">Y24</f>
        <v>2433.18840507518</v>
      </c>
      <c r="AA22" s="45" t="n">
        <f aca="false">Z24</f>
        <v>2509.48252237307</v>
      </c>
      <c r="AB22" s="45" t="n">
        <f aca="false">AA24</f>
        <v>2579.88122451599</v>
      </c>
      <c r="AC22" s="45" t="n">
        <f aca="false">AB24</f>
        <v>2644.86030700091</v>
      </c>
      <c r="AD22" s="45" t="n">
        <f aca="false">AC24</f>
        <v>2704.85758493075</v>
      </c>
      <c r="AE22" s="45" t="n">
        <f aca="false">AD24</f>
        <v>2760.27593311078</v>
      </c>
      <c r="AF22" s="45" t="n">
        <f aca="false">AE24</f>
        <v>2811.48608297068</v>
      </c>
      <c r="AG22" s="45" t="n">
        <f aca="false">AF24</f>
        <v>2858.82919576674</v>
      </c>
      <c r="AH22" s="45" t="n">
        <f aca="false">AG24</f>
        <v>2902.61922996258</v>
      </c>
      <c r="AI22" s="45" t="n">
        <f aca="false">AH24</f>
        <v>2943.14511925468</v>
      </c>
      <c r="AJ22" s="45" t="n">
        <f aca="false">AI24</f>
        <v>2980.67277639197</v>
      </c>
      <c r="AK22" s="45" t="n">
        <f aca="false">AJ24</f>
        <v>3015.44693672662</v>
      </c>
    </row>
    <row r="23" customFormat="false" ht="15" hidden="false" customHeight="true" outlineLevel="0" collapsed="false">
      <c r="A23" s="4" t="s">
        <v>357</v>
      </c>
      <c r="B23" s="45" t="n">
        <f aca="false">-B22*Assumptions!$C$69</f>
        <v>-0</v>
      </c>
      <c r="C23" s="45" t="n">
        <f aca="false">-C22*Assumptions!$C$69</f>
        <v>-0</v>
      </c>
      <c r="D23" s="45" t="n">
        <f aca="false">-D22*Assumptions!$C$69</f>
        <v>-0</v>
      </c>
      <c r="E23" s="45" t="n">
        <f aca="false">-E22*Assumptions!$C$69</f>
        <v>-0</v>
      </c>
      <c r="F23" s="45" t="n">
        <f aca="false">-F22*Assumptions!$C$69</f>
        <v>-11.192620733913</v>
      </c>
      <c r="G23" s="45" t="n">
        <f aca="false">-G22*Assumptions!$C$69</f>
        <v>-21.495601494713</v>
      </c>
      <c r="H23" s="45" t="n">
        <f aca="false">-H22*Assumptions!$C$69</f>
        <v>-30.980171177105</v>
      </c>
      <c r="I23" s="45" t="n">
        <f aca="false">-I22*Assumptions!$C$69</f>
        <v>-48.3727305064036</v>
      </c>
      <c r="J23" s="45" t="n">
        <f aca="false">-J22*Assumptions!$C$69</f>
        <v>-64.3798296022017</v>
      </c>
      <c r="K23" s="45" t="n">
        <f aca="false">-K22*Assumptions!$C$69</f>
        <v>-79.1123647283077</v>
      </c>
      <c r="L23" s="45" t="n">
        <f aca="false">-L22*Assumptions!$C$69</f>
        <v>-88.7584250394283</v>
      </c>
      <c r="M23" s="45" t="n">
        <f aca="false">-M22*Assumptions!$C$69</f>
        <v>-97.6451710806643</v>
      </c>
      <c r="N23" s="45" t="n">
        <f aca="false">-N22*Assumptions!$C$69</f>
        <v>-105.833595404707</v>
      </c>
      <c r="O23" s="45" t="n">
        <f aca="false">-O22*Assumptions!$C$69</f>
        <v>-113.866772629992</v>
      </c>
      <c r="P23" s="45" t="n">
        <f aca="false">-P22*Assumptions!$C$69</f>
        <v>-121.27042340919</v>
      </c>
      <c r="Q23" s="45" t="n">
        <f aca="false">-Q22*Assumptions!$C$69</f>
        <v>-128.095172412628</v>
      </c>
      <c r="R23" s="45" t="n">
        <f aca="false">-R22*Assumptions!$C$69</f>
        <v>-134.387599588096</v>
      </c>
      <c r="S23" s="45" t="n">
        <f aca="false">-S22*Assumptions!$C$69</f>
        <v>-140.190563843679</v>
      </c>
      <c r="T23" s="45" t="n">
        <f aca="false">-T22*Assumptions!$C$69</f>
        <v>-145.54350083805</v>
      </c>
      <c r="U23" s="45" t="n">
        <f aca="false">-U22*Assumptions!$C$69</f>
        <v>-155.482696949692</v>
      </c>
      <c r="V23" s="45" t="n">
        <f aca="false">-V22*Assumptions!$C$69</f>
        <v>-164.641541330758</v>
      </c>
      <c r="W23" s="45" t="n">
        <f aca="false">-W22*Assumptions!$C$69</f>
        <v>-173.082757798863</v>
      </c>
      <c r="X23" s="45" t="n">
        <f aca="false">-X22*Assumptions!$C$69</f>
        <v>-180.864058179794</v>
      </c>
      <c r="Y23" s="45" t="n">
        <f aca="false">-Y22*Assumptions!$C$69</f>
        <v>-188.038543385129</v>
      </c>
      <c r="Z23" s="45" t="n">
        <f aca="false">-Z22*Assumptions!$C$69</f>
        <v>-194.655072406014</v>
      </c>
      <c r="AA23" s="45" t="n">
        <f aca="false">-AA22*Assumptions!$C$69</f>
        <v>-200.758601789846</v>
      </c>
      <c r="AB23" s="45" t="n">
        <f aca="false">-AB22*Assumptions!$C$69</f>
        <v>-206.390497961279</v>
      </c>
      <c r="AC23" s="45" t="n">
        <f aca="false">-AC22*Assumptions!$C$69</f>
        <v>-211.588824560073</v>
      </c>
      <c r="AD23" s="45" t="n">
        <f aca="false">-AD22*Assumptions!$C$69</f>
        <v>-216.38860679446</v>
      </c>
      <c r="AE23" s="45" t="n">
        <f aca="false">-AE22*Assumptions!$C$69</f>
        <v>-220.822074648862</v>
      </c>
      <c r="AF23" s="45" t="n">
        <f aca="false">-AF22*Assumptions!$C$69</f>
        <v>-224.918886637654</v>
      </c>
      <c r="AG23" s="45" t="n">
        <f aca="false">-AG22*Assumptions!$C$69</f>
        <v>-228.706335661339</v>
      </c>
      <c r="AH23" s="45" t="n">
        <f aca="false">-AH22*Assumptions!$C$69</f>
        <v>-232.209538397006</v>
      </c>
      <c r="AI23" s="45" t="n">
        <f aca="false">-AI22*Assumptions!$C$69</f>
        <v>-235.451609540374</v>
      </c>
      <c r="AJ23" s="45" t="n">
        <f aca="false">-AJ22*Assumptions!$C$69</f>
        <v>-238.453822111358</v>
      </c>
      <c r="AK23" s="45" t="n">
        <f aca="false">-AK22*Assumptions!$C$69</f>
        <v>-241.235754938129</v>
      </c>
    </row>
    <row r="24" customFormat="false" ht="15" hidden="false" customHeight="true" outlineLevel="0" collapsed="false">
      <c r="A24" s="4" t="s">
        <v>358</v>
      </c>
      <c r="B24" s="45" t="n">
        <f aca="false">SUM(B22:B23,B19)</f>
        <v>0</v>
      </c>
      <c r="C24" s="45" t="n">
        <f aca="false">SUM(C22:C23,C19)</f>
        <v>0</v>
      </c>
      <c r="D24" s="45" t="n">
        <f aca="false">SUM(D22:D23,D19)</f>
        <v>0</v>
      </c>
      <c r="E24" s="45" t="n">
        <f aca="false">SUM(E22:E23,E19)</f>
        <v>139.907759173913</v>
      </c>
      <c r="F24" s="45" t="n">
        <f aca="false">SUM(F22:F23,F19)</f>
        <v>268.695018683913</v>
      </c>
      <c r="G24" s="45" t="n">
        <f aca="false">SUM(G22:G23,G19)</f>
        <v>387.252139713813</v>
      </c>
      <c r="H24" s="45" t="n">
        <f aca="false">SUM(H22:H23,H19)</f>
        <v>604.659131330045</v>
      </c>
      <c r="I24" s="45" t="n">
        <f aca="false">SUM(I22:I23,I19)</f>
        <v>804.747870027521</v>
      </c>
      <c r="J24" s="45" t="n">
        <f aca="false">SUM(J22:J23,J19)</f>
        <v>988.904559103847</v>
      </c>
      <c r="K24" s="45" t="n">
        <f aca="false">SUM(K22:K23,K19)</f>
        <v>1109.48031299285</v>
      </c>
      <c r="L24" s="45" t="n">
        <f aca="false">SUM(L22:L23,L19)</f>
        <v>1220.5646385083</v>
      </c>
      <c r="M24" s="45" t="n">
        <f aca="false">SUM(M22:M23,M19)</f>
        <v>1322.91994255883</v>
      </c>
      <c r="N24" s="45" t="n">
        <f aca="false">SUM(N22:N23,N19)</f>
        <v>1423.3346578749</v>
      </c>
      <c r="O24" s="45" t="n">
        <f aca="false">SUM(O22:O23,O19)</f>
        <v>1515.88029261488</v>
      </c>
      <c r="P24" s="45" t="n">
        <f aca="false">SUM(P22:P23,P19)</f>
        <v>1601.18965515784</v>
      </c>
      <c r="Q24" s="45" t="n">
        <f aca="false">SUM(Q22:Q23,Q19)</f>
        <v>1679.8449948512</v>
      </c>
      <c r="R24" s="45" t="n">
        <f aca="false">SUM(R22:R23,R19)</f>
        <v>1752.38204804598</v>
      </c>
      <c r="S24" s="45" t="n">
        <f aca="false">SUM(S22:S23,S19)</f>
        <v>1819.29376047563</v>
      </c>
      <c r="T24" s="45" t="n">
        <f aca="false">SUM(T22:T23,T19)</f>
        <v>1943.53371187115</v>
      </c>
      <c r="U24" s="45" t="n">
        <f aca="false">SUM(U22:U23,U19)</f>
        <v>2058.01926663448</v>
      </c>
      <c r="V24" s="45" t="n">
        <f aca="false">SUM(V22:V23,V19)</f>
        <v>2163.53447248579</v>
      </c>
      <c r="W24" s="45" t="n">
        <f aca="false">SUM(W22:W23,W19)</f>
        <v>2260.80072724742</v>
      </c>
      <c r="X24" s="45" t="n">
        <f aca="false">SUM(X22:X23,X19)</f>
        <v>2350.48179231411</v>
      </c>
      <c r="Y24" s="45" t="n">
        <f aca="false">SUM(Y22:Y23,Y19)</f>
        <v>2433.18840507518</v>
      </c>
      <c r="Z24" s="45" t="n">
        <f aca="false">SUM(Z22:Z23,Z19)</f>
        <v>2509.48252237307</v>
      </c>
      <c r="AA24" s="45" t="n">
        <f aca="false">SUM(AA22:AA23,AA19)</f>
        <v>2579.88122451599</v>
      </c>
      <c r="AB24" s="45" t="n">
        <f aca="false">SUM(AB22:AB23,AB19)</f>
        <v>2644.86030700091</v>
      </c>
      <c r="AC24" s="45" t="n">
        <f aca="false">SUM(AC22:AC23,AC19)</f>
        <v>2704.85758493075</v>
      </c>
      <c r="AD24" s="45" t="n">
        <f aca="false">SUM(AD22:AD23,AD19)</f>
        <v>2760.27593311078</v>
      </c>
      <c r="AE24" s="45" t="n">
        <f aca="false">SUM(AE22:AE23,AE19)</f>
        <v>2811.48608297068</v>
      </c>
      <c r="AF24" s="45" t="n">
        <f aca="false">SUM(AF22:AF23,AF19)</f>
        <v>2858.82919576674</v>
      </c>
      <c r="AG24" s="45" t="n">
        <f aca="false">SUM(AG22:AG23,AG19)</f>
        <v>2902.61922996258</v>
      </c>
      <c r="AH24" s="45" t="n">
        <f aca="false">SUM(AH22:AH23,AH19)</f>
        <v>2943.14511925468</v>
      </c>
      <c r="AI24" s="45" t="n">
        <f aca="false">SUM(AI22:AI23,AI19)</f>
        <v>2980.67277639197</v>
      </c>
      <c r="AJ24" s="45" t="n">
        <f aca="false">SUM(AJ22:AJ23,AJ19)</f>
        <v>3015.44693672662</v>
      </c>
      <c r="AK24" s="45" t="n">
        <f aca="false">SUM(AK22:AK23,AK19)</f>
        <v>3047.69285431819</v>
      </c>
    </row>
    <row r="25" customFormat="false" ht="15" hidden="false" customHeight="true" outlineLevel="0" collapsed="false">
      <c r="A25" s="4" t="s">
        <v>359</v>
      </c>
      <c r="B25" s="45" t="n">
        <f aca="false">SUM(B17:B18)+SUM(B20)</f>
        <v>0</v>
      </c>
      <c r="C25" s="45" t="n">
        <f aca="false">SUM(B17:C18)+SUM(B20:C20)</f>
        <v>0</v>
      </c>
      <c r="D25" s="45" t="n">
        <f aca="false">SUM(B17:D18)+SUM(B20:D20)</f>
        <v>0</v>
      </c>
      <c r="E25" s="45" t="n">
        <f aca="false">SUM(B17:E18)+SUM(B20:E20)</f>
        <v>59.9604682173913</v>
      </c>
      <c r="F25" s="45" t="n">
        <f aca="false">SUM(B17:F18)+SUM(B20:F20)</f>
        <v>119.951845464783</v>
      </c>
      <c r="G25" s="45" t="n">
        <f aca="false">SUM(B17:G18)+SUM(B20:G20)</f>
        <v>179.974440832474</v>
      </c>
      <c r="H25" s="45" t="n">
        <f aca="false">SUM(B17:H18)+SUM(B20:H20)</f>
        <v>286.426082029619</v>
      </c>
      <c r="I25" s="45" t="n">
        <f aca="false">SUM(B17:I18)+SUM(B20:I20)</f>
        <v>392.909568831281</v>
      </c>
      <c r="J25" s="45" t="n">
        <f aca="false">SUM(B17:J18)+SUM(B20:J20)</f>
        <v>499.425219693507</v>
      </c>
      <c r="K25" s="45" t="n">
        <f aca="false">SUM(B17:K18)+SUM(B20:K20)</f>
        <v>585.005841958071</v>
      </c>
      <c r="L25" s="45" t="n">
        <f aca="false">SUM(B17:L18)+SUM(B20:L20)</f>
        <v>670.652735053019</v>
      </c>
      <c r="M25" s="45" t="n">
        <f aca="false">SUM(B17:M18)+SUM(B20:M20)</f>
        <v>756.367224394959</v>
      </c>
      <c r="N25" s="45" t="n">
        <f aca="false">SUM(C17:N18)+SUM(C20:N20)</f>
        <v>844.759357561005</v>
      </c>
      <c r="O25" s="45" t="n">
        <f aca="false">SUM(D17:O18)+SUM(D20:O20)</f>
        <v>933.221817862421</v>
      </c>
      <c r="P25" s="45" t="n">
        <f aca="false">SUM(E17:P18)+SUM(E20:P20)</f>
        <v>1021.75601184192</v>
      </c>
      <c r="Q25" s="45" t="n">
        <f aca="false">SUM(F17:Q18)+SUM(F20:Q20)</f>
        <v>1077.38511665348</v>
      </c>
      <c r="R25" s="45" t="n">
        <f aca="false">SUM(G17:R18)+SUM(G20:R20)</f>
        <v>1133.07185321723</v>
      </c>
      <c r="S25" s="45" t="n">
        <f aca="false">SUM(H17:S18)+SUM(H20:S20)</f>
        <v>1188.81754416785</v>
      </c>
      <c r="T25" s="45" t="n">
        <f aca="false">SUM(I17:T18)+SUM(I20:T20)</f>
        <v>1245.89062103809</v>
      </c>
      <c r="U25" s="45" t="n">
        <f aca="false">SUM(J17:U18)+SUM(J20:U20)</f>
        <v>1303.02538260276</v>
      </c>
      <c r="V25" s="45" t="n">
        <f aca="false">SUM(K17:V18)+SUM(K20:V20)</f>
        <v>1360.22323770657</v>
      </c>
      <c r="W25" s="45" t="n">
        <f aca="false">SUM(L17:W18)+SUM(L20:W20)</f>
        <v>1429.01775798698</v>
      </c>
      <c r="X25" s="45" t="n">
        <f aca="false">SUM(M17:X18)+SUM(M20:X20)</f>
        <v>1497.85987674754</v>
      </c>
      <c r="Y25" s="45" t="n">
        <f aca="false">SUM(N17:Y18)+SUM(N20:Y20)</f>
        <v>1566.75054595784</v>
      </c>
      <c r="Z25" s="45" t="n">
        <f aca="false">SUM(O17:Z18)+SUM(O20:Z20)</f>
        <v>1634.25595401819</v>
      </c>
      <c r="AA25" s="45" t="n">
        <f aca="false">SUM(P17:AA18)+SUM(P20:AA20)</f>
        <v>1701.81187396645</v>
      </c>
      <c r="AB25" s="45" t="n">
        <f aca="false">SUM(Q17:AB18)+SUM(Q20:AB20)</f>
        <v>1769.41931604039</v>
      </c>
      <c r="AC25" s="45" t="n">
        <f aca="false">SUM(R17:AC18)+SUM(R20:AC20)</f>
        <v>1822.23909479871</v>
      </c>
      <c r="AD25" s="45" t="n">
        <f aca="false">SUM(S17:AD18)+SUM(S20:AD20)</f>
        <v>1875.10482719165</v>
      </c>
      <c r="AE25" s="45" t="n">
        <f aca="false">SUM(T17:AE18)+SUM(T20:AE20)</f>
        <v>1928.01750879176</v>
      </c>
      <c r="AF25" s="45" t="n">
        <f aca="false">SUM(U17:AF18)+SUM(U20:AF20)</f>
        <v>1954.76262789772</v>
      </c>
      <c r="AG25" s="45" t="n">
        <f aca="false">SUM(V17:AG18)+SUM(V20:AG20)</f>
        <v>1981.55674980646</v>
      </c>
      <c r="AH25" s="45" t="n">
        <f aca="false">SUM(W17:AH18)+SUM(W20:AH20)</f>
        <v>2008.4009333919</v>
      </c>
      <c r="AI25" s="45" t="n">
        <f aca="false">SUM(X17:AI18)+SUM(X20:AI20)</f>
        <v>2040.48571928259</v>
      </c>
      <c r="AJ25" s="45" t="n">
        <f aca="false">SUM(Y17:AJ18)+SUM(Y20:AJ20)</f>
        <v>2072.61446952464</v>
      </c>
      <c r="AK25" s="45" t="n">
        <f aca="false">SUM(Z17:AK18)+SUM(Z20:AK20)</f>
        <v>2104.78806340506</v>
      </c>
    </row>
    <row r="26" customFormat="false" ht="15" hidden="false" customHeight="true" outlineLevel="0" collapsed="false">
      <c r="A26" s="16" t="s">
        <v>360</v>
      </c>
      <c r="B26" s="49" t="n">
        <f aca="false">SUM(B24:B25)</f>
        <v>0</v>
      </c>
      <c r="C26" s="49" t="n">
        <f aca="false">SUM(C24:C25)</f>
        <v>0</v>
      </c>
      <c r="D26" s="49" t="n">
        <f aca="false">SUM(D24:D25)</f>
        <v>0</v>
      </c>
      <c r="E26" s="49" t="n">
        <f aca="false">SUM(E24:E25)</f>
        <v>199.868227391304</v>
      </c>
      <c r="F26" s="49" t="n">
        <f aca="false">SUM(F24:F25)</f>
        <v>388.646864148696</v>
      </c>
      <c r="G26" s="49" t="n">
        <f aca="false">SUM(G24:G25)</f>
        <v>567.226580546287</v>
      </c>
      <c r="H26" s="49" t="n">
        <f aca="false">SUM(H24:H25)</f>
        <v>891.085213359664</v>
      </c>
      <c r="I26" s="49" t="n">
        <f aca="false">SUM(I24:I25)</f>
        <v>1197.6574388588</v>
      </c>
      <c r="J26" s="49" t="n">
        <f aca="false">SUM(J24:J25)</f>
        <v>1488.32977879735</v>
      </c>
      <c r="K26" s="49" t="n">
        <f aca="false">SUM(K24:K25)</f>
        <v>1694.48615495092</v>
      </c>
      <c r="L26" s="49" t="n">
        <f aca="false">SUM(L24:L25)</f>
        <v>1891.21737356132</v>
      </c>
      <c r="M26" s="49" t="n">
        <f aca="false">SUM(M24:M25)</f>
        <v>2079.28716695379</v>
      </c>
      <c r="N26" s="49" t="n">
        <f aca="false">SUM(N24:N25)</f>
        <v>2268.09401543591</v>
      </c>
      <c r="O26" s="49" t="n">
        <f aca="false">SUM(O24:O25)</f>
        <v>2449.1021104773</v>
      </c>
      <c r="P26" s="49" t="n">
        <f aca="false">SUM(P24:P25)</f>
        <v>2622.94566699976</v>
      </c>
      <c r="Q26" s="49" t="n">
        <f aca="false">SUM(Q24:Q25)</f>
        <v>2757.23011150468</v>
      </c>
      <c r="R26" s="49" t="n">
        <f aca="false">SUM(R24:R25)</f>
        <v>2885.45390126321</v>
      </c>
      <c r="S26" s="49" t="n">
        <f aca="false">SUM(S24:S25)</f>
        <v>3008.11130464348</v>
      </c>
      <c r="T26" s="49" t="n">
        <f aca="false">SUM(T24:T25)</f>
        <v>3189.42433290924</v>
      </c>
      <c r="U26" s="49" t="n">
        <f aca="false">SUM(U24:U25)</f>
        <v>3361.04464923724</v>
      </c>
      <c r="V26" s="49" t="n">
        <f aca="false">SUM(V24:V25)</f>
        <v>3523.75771019236</v>
      </c>
      <c r="W26" s="49" t="n">
        <f aca="false">SUM(W24:W25)</f>
        <v>3689.8184852344</v>
      </c>
      <c r="X26" s="49" t="n">
        <f aca="false">SUM(X24:X25)</f>
        <v>3848.34166906165</v>
      </c>
      <c r="Y26" s="49" t="n">
        <f aca="false">SUM(Y24:Y25)</f>
        <v>3999.93895103302</v>
      </c>
      <c r="Z26" s="49" t="n">
        <f aca="false">SUM(Z24:Z25)</f>
        <v>4143.73847639126</v>
      </c>
      <c r="AA26" s="49" t="n">
        <f aca="false">SUM(AA24:AA25)</f>
        <v>4281.69309848244</v>
      </c>
      <c r="AB26" s="49" t="n">
        <f aca="false">SUM(AB24:AB25)</f>
        <v>4414.2796230413</v>
      </c>
      <c r="AC26" s="49" t="n">
        <f aca="false">SUM(AC24:AC25)</f>
        <v>4527.09667972945</v>
      </c>
      <c r="AD26" s="49" t="n">
        <f aca="false">SUM(AD24:AD25)</f>
        <v>4635.38076030243</v>
      </c>
      <c r="AE26" s="49" t="n">
        <f aca="false">SUM(AE24:AE25)</f>
        <v>4739.50359176244</v>
      </c>
      <c r="AF26" s="49" t="n">
        <f aca="false">SUM(AF24:AF25)</f>
        <v>4813.59182366447</v>
      </c>
      <c r="AG26" s="49" t="n">
        <f aca="false">SUM(AG24:AG25)</f>
        <v>4884.17597976904</v>
      </c>
      <c r="AH26" s="49" t="n">
        <f aca="false">SUM(AH24:AH25)</f>
        <v>4951.54605264658</v>
      </c>
      <c r="AI26" s="49" t="n">
        <f aca="false">SUM(AI24:AI25)</f>
        <v>5021.15849567456</v>
      </c>
      <c r="AJ26" s="49" t="n">
        <f aca="false">SUM(AJ24:AJ25)</f>
        <v>5088.06140625125</v>
      </c>
      <c r="AK26" s="49" t="n">
        <f aca="false">SUM(AK24:AK25)</f>
        <v>5152.48091772326</v>
      </c>
    </row>
    <row r="27" customFormat="false" ht="15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customFormat="false" ht="15" hidden="false" customHeight="true" outlineLevel="0" collapsed="false">
      <c r="A28" s="4" t="s">
        <v>361</v>
      </c>
      <c r="B28" s="44" t="n">
        <f aca="false">B24*Assumptions!$C$29</f>
        <v>0</v>
      </c>
      <c r="C28" s="44" t="n">
        <f aca="false">C24*Assumptions!$C$29</f>
        <v>0</v>
      </c>
      <c r="D28" s="44" t="n">
        <f aca="false">D24*Assumptions!$C$29</f>
        <v>0</v>
      </c>
      <c r="E28" s="44" t="n">
        <f aca="false">E24*Assumptions!$C$29</f>
        <v>1259.16983256522</v>
      </c>
      <c r="F28" s="44" t="n">
        <f aca="false">F24*Assumptions!$C$29</f>
        <v>2418.25516815522</v>
      </c>
      <c r="G28" s="44" t="n">
        <f aca="false">G24*Assumptions!$C$29</f>
        <v>3485.26925742432</v>
      </c>
      <c r="H28" s="44" t="n">
        <f aca="false">H24*Assumptions!$C$29</f>
        <v>5441.93218197041</v>
      </c>
      <c r="I28" s="44" t="n">
        <f aca="false">I24*Assumptions!$C$29</f>
        <v>7242.73083024769</v>
      </c>
      <c r="J28" s="44" t="n">
        <f aca="false">J24*Assumptions!$C$29</f>
        <v>8900.14103193462</v>
      </c>
      <c r="K28" s="44" t="n">
        <f aca="false">K24*Assumptions!$C$29</f>
        <v>9985.32281693568</v>
      </c>
      <c r="L28" s="44" t="n">
        <f aca="false">L24*Assumptions!$C$29</f>
        <v>10985.0817465747</v>
      </c>
      <c r="M28" s="44" t="n">
        <f aca="false">M24*Assumptions!$C$29</f>
        <v>11906.2794830295</v>
      </c>
      <c r="N28" s="44" t="n">
        <f aca="false">N24*Assumptions!$C$29</f>
        <v>12810.0119208741</v>
      </c>
      <c r="O28" s="44" t="n">
        <f aca="false">O24*Assumptions!$C$29</f>
        <v>13642.9226335339</v>
      </c>
      <c r="P28" s="44" t="n">
        <f aca="false">P24*Assumptions!$C$29</f>
        <v>14410.7068964206</v>
      </c>
      <c r="Q28" s="44" t="n">
        <f aca="false">Q24*Assumptions!$C$29</f>
        <v>15118.6049536608</v>
      </c>
      <c r="R28" s="44" t="n">
        <f aca="false">R24*Assumptions!$C$29</f>
        <v>15771.4384324138</v>
      </c>
      <c r="S28" s="44" t="n">
        <f aca="false">S24*Assumptions!$C$29</f>
        <v>16373.6438442806</v>
      </c>
      <c r="T28" s="44" t="n">
        <f aca="false">T24*Assumptions!$C$29</f>
        <v>17491.8034068403</v>
      </c>
      <c r="U28" s="44" t="n">
        <f aca="false">U24*Assumptions!$C$29</f>
        <v>18522.1733997103</v>
      </c>
      <c r="V28" s="44" t="n">
        <f aca="false">V24*Assumptions!$C$29</f>
        <v>19471.8102523721</v>
      </c>
      <c r="W28" s="44" t="n">
        <f aca="false">W24*Assumptions!$C$29</f>
        <v>20347.2065452268</v>
      </c>
      <c r="X28" s="44" t="n">
        <f aca="false">X24*Assumptions!$C$29</f>
        <v>21154.336130827</v>
      </c>
      <c r="Y28" s="44" t="n">
        <f aca="false">Y24*Assumptions!$C$29</f>
        <v>21898.6956456766</v>
      </c>
      <c r="Z28" s="44" t="n">
        <f aca="false">Z24*Assumptions!$C$29</f>
        <v>22585.3427013576</v>
      </c>
      <c r="AA28" s="44" t="n">
        <f aca="false">AA24*Assumptions!$C$29</f>
        <v>23218.9310206439</v>
      </c>
      <c r="AB28" s="44" t="n">
        <f aca="false">AB24*Assumptions!$C$29</f>
        <v>23803.7427630082</v>
      </c>
      <c r="AC28" s="44" t="n">
        <f aca="false">AC24*Assumptions!$C$29</f>
        <v>24343.7182643767</v>
      </c>
      <c r="AD28" s="44" t="n">
        <f aca="false">AD24*Assumptions!$C$29</f>
        <v>24842.483397997</v>
      </c>
      <c r="AE28" s="44" t="n">
        <f aca="false">AE24*Assumptions!$C$29</f>
        <v>25303.3747467361</v>
      </c>
      <c r="AF28" s="44" t="n">
        <f aca="false">AF24*Assumptions!$C$29</f>
        <v>25729.4627619007</v>
      </c>
      <c r="AG28" s="44" t="n">
        <f aca="false">AG24*Assumptions!$C$29</f>
        <v>26123.5730696632</v>
      </c>
      <c r="AH28" s="44" t="n">
        <f aca="false">AH24*Assumptions!$C$29</f>
        <v>26488.3060732921</v>
      </c>
      <c r="AI28" s="44" t="n">
        <f aca="false">AI24*Assumptions!$C$29</f>
        <v>26826.0549875277</v>
      </c>
      <c r="AJ28" s="44" t="n">
        <f aca="false">AJ24*Assumptions!$C$29</f>
        <v>27139.0224305396</v>
      </c>
      <c r="AK28" s="44" t="n">
        <f aca="false">AK24*Assumptions!$C$29</f>
        <v>27429.2356888637</v>
      </c>
    </row>
    <row r="29" customFormat="false" ht="15" hidden="false" customHeight="true" outlineLevel="0" collapsed="false">
      <c r="A29" s="4" t="s">
        <v>362</v>
      </c>
      <c r="B29" s="44" t="n">
        <f aca="false">B17*Assumptions!$C$31</f>
        <v>0</v>
      </c>
      <c r="C29" s="44" t="n">
        <f aca="false">C17*Assumptions!$C$31</f>
        <v>0</v>
      </c>
      <c r="D29" s="44" t="n">
        <f aca="false">D17*Assumptions!$C$31</f>
        <v>0</v>
      </c>
      <c r="E29" s="44" t="n">
        <f aca="false">E17*Assumptions!$C$31</f>
        <v>3102.272307</v>
      </c>
      <c r="F29" s="44" t="n">
        <f aca="false">F17*Assumptions!$C$31</f>
        <v>3104.40503007</v>
      </c>
      <c r="G29" s="44" t="n">
        <f aca="false">G17*Assumptions!$C$31</f>
        <v>3106.5590803707</v>
      </c>
      <c r="H29" s="44" t="n">
        <f aca="false">H17*Assumptions!$C$31</f>
        <v>3648.73467117441</v>
      </c>
      <c r="I29" s="44" t="n">
        <f aca="false">I17*Assumptions!$C$31</f>
        <v>3650.93201788615</v>
      </c>
      <c r="J29" s="44" t="n">
        <f aca="false">J17*Assumptions!$C$31</f>
        <v>3653.15133806501</v>
      </c>
      <c r="K29" s="44" t="n">
        <f aca="false">K17*Assumptions!$C$31</f>
        <v>2208.63436482631</v>
      </c>
      <c r="L29" s="44" t="n">
        <f aca="false">L17*Assumptions!$C$31</f>
        <v>2213.20705212284</v>
      </c>
      <c r="M29" s="44" t="n">
        <f aca="false">M17*Assumptions!$C$31</f>
        <v>2217.8711931653</v>
      </c>
      <c r="N29" s="44" t="n">
        <f aca="false">N17*Assumptions!$C$31</f>
        <v>2402.6286170286</v>
      </c>
      <c r="O29" s="44" t="n">
        <f aca="false">O17*Assumptions!$C$31</f>
        <v>2407.48118936917</v>
      </c>
      <c r="P29" s="44" t="n">
        <f aca="false">P17*Assumptions!$C$31</f>
        <v>2412.43081315656</v>
      </c>
      <c r="Q29" s="44" t="n">
        <f aca="false">Q17*Assumptions!$C$31</f>
        <v>2417.47942941969</v>
      </c>
      <c r="R29" s="44" t="n">
        <f aca="false">R17*Assumptions!$C$31</f>
        <v>2422.62901800808</v>
      </c>
      <c r="S29" s="44" t="n">
        <f aca="false">S17*Assumptions!$C$31</f>
        <v>2427.88159836824</v>
      </c>
      <c r="T29" s="44" t="n">
        <f aca="false">T17*Assumptions!$C$31</f>
        <v>2433.23923033561</v>
      </c>
      <c r="U29" s="44" t="n">
        <f aca="false">U17*Assumptions!$C$31</f>
        <v>2438.70401494232</v>
      </c>
      <c r="V29" s="44" t="n">
        <f aca="false">V17*Assumptions!$C$31</f>
        <v>2444.27809524117</v>
      </c>
      <c r="W29" s="44" t="n">
        <f aca="false">W17*Assumptions!$C$31</f>
        <v>2449.96365714599</v>
      </c>
      <c r="X29" s="44" t="n">
        <f aca="false">X17*Assumptions!$C$31</f>
        <v>2455.76293028891</v>
      </c>
      <c r="Y29" s="44" t="n">
        <f aca="false">Y17*Assumptions!$C$31</f>
        <v>2461.67818889469</v>
      </c>
      <c r="Z29" s="44" t="n">
        <f aca="false">Z17*Assumptions!$C$31</f>
        <v>2467.71175267258</v>
      </c>
      <c r="AA29" s="44" t="n">
        <f aca="false">AA17*Assumptions!$C$31</f>
        <v>2473.86598772603</v>
      </c>
      <c r="AB29" s="44" t="n">
        <f aca="false">AB17*Assumptions!$C$31</f>
        <v>2480.14330748055</v>
      </c>
      <c r="AC29" s="44" t="n">
        <f aca="false">AC17*Assumptions!$C$31</f>
        <v>2486.54617363017</v>
      </c>
      <c r="AD29" s="44" t="n">
        <f aca="false">AD17*Assumptions!$C$31</f>
        <v>2493.07709710277</v>
      </c>
      <c r="AE29" s="44" t="n">
        <f aca="false">AE17*Assumptions!$C$31</f>
        <v>2499.73863904482</v>
      </c>
      <c r="AF29" s="44" t="n">
        <f aca="false">AF17*Assumptions!$C$31</f>
        <v>2506.53341182572</v>
      </c>
      <c r="AG29" s="44" t="n">
        <f aca="false">AG17*Assumptions!$C$31</f>
        <v>2513.46408006224</v>
      </c>
      <c r="AH29" s="44" t="n">
        <f aca="false">AH17*Assumptions!$C$31</f>
        <v>2520.53336166348</v>
      </c>
      <c r="AI29" s="44" t="n">
        <f aca="false">AI17*Assumptions!$C$31</f>
        <v>2527.74402889675</v>
      </c>
      <c r="AJ29" s="44" t="n">
        <f aca="false">AJ17*Assumptions!$C$31</f>
        <v>2535.09890947468</v>
      </c>
      <c r="AK29" s="44" t="n">
        <f aca="false">AK17*Assumptions!$C$31</f>
        <v>2542.60088766418</v>
      </c>
    </row>
    <row r="30" customFormat="false" ht="15" hidden="false" customHeight="true" outlineLevel="0" collapsed="false">
      <c r="A30" s="4" t="s">
        <v>363</v>
      </c>
      <c r="B30" s="44" t="n">
        <f aca="false">B18*Assumptions!$C$30</f>
        <v>0</v>
      </c>
      <c r="C30" s="44" t="n">
        <f aca="false">C18*Assumptions!$C$30</f>
        <v>0</v>
      </c>
      <c r="D30" s="44" t="n">
        <f aca="false">D18*Assumptions!$C$30</f>
        <v>0</v>
      </c>
      <c r="E30" s="44" t="n">
        <f aca="false">E18*Assumptions!$C$30</f>
        <v>1335</v>
      </c>
      <c r="F30" s="44" t="n">
        <f aca="false">F18*Assumptions!$C$30</f>
        <v>1335</v>
      </c>
      <c r="G30" s="44" t="n">
        <f aca="false">G18*Assumptions!$C$30</f>
        <v>1335</v>
      </c>
      <c r="H30" s="44" t="n">
        <f aca="false">H18*Assumptions!$C$30</f>
        <v>4767.85714285714</v>
      </c>
      <c r="I30" s="44" t="n">
        <f aca="false">I18*Assumptions!$C$30</f>
        <v>4767.85714285714</v>
      </c>
      <c r="J30" s="44" t="n">
        <f aca="false">J18*Assumptions!$C$30</f>
        <v>4767.85714285714</v>
      </c>
      <c r="K30" s="44" t="n">
        <f aca="false">K18*Assumptions!$C$30</f>
        <v>4767.85714285714</v>
      </c>
      <c r="L30" s="44" t="n">
        <f aca="false">L18*Assumptions!$C$30</f>
        <v>4767.85714285714</v>
      </c>
      <c r="M30" s="44" t="n">
        <f aca="false">M18*Assumptions!$C$30</f>
        <v>4767.85714285714</v>
      </c>
      <c r="N30" s="44" t="n">
        <f aca="false">N18*Assumptions!$C$30</f>
        <v>4767.85714285714</v>
      </c>
      <c r="O30" s="44" t="n">
        <f aca="false">O18*Assumptions!$C$30</f>
        <v>4767.85714285714</v>
      </c>
      <c r="P30" s="44" t="n">
        <f aca="false">P18*Assumptions!$C$30</f>
        <v>4767.85714285714</v>
      </c>
      <c r="Q30" s="44" t="n">
        <f aca="false">Q18*Assumptions!$C$30</f>
        <v>4767.85714285714</v>
      </c>
      <c r="R30" s="44" t="n">
        <f aca="false">R18*Assumptions!$C$30</f>
        <v>4767.85714285714</v>
      </c>
      <c r="S30" s="44" t="n">
        <f aca="false">S18*Assumptions!$C$30</f>
        <v>4767.85714285714</v>
      </c>
      <c r="T30" s="44" t="n">
        <f aca="false">T18*Assumptions!$C$30</f>
        <v>7151.78571428572</v>
      </c>
      <c r="U30" s="44" t="n">
        <f aca="false">U18*Assumptions!$C$30</f>
        <v>7151.78571428572</v>
      </c>
      <c r="V30" s="44" t="n">
        <f aca="false">V18*Assumptions!$C$30</f>
        <v>7151.78571428572</v>
      </c>
      <c r="W30" s="44" t="n">
        <f aca="false">W18*Assumptions!$C$30</f>
        <v>7151.78571428572</v>
      </c>
      <c r="X30" s="44" t="n">
        <f aca="false">X18*Assumptions!$C$30</f>
        <v>7151.78571428572</v>
      </c>
      <c r="Y30" s="44" t="n">
        <f aca="false">Y18*Assumptions!$C$30</f>
        <v>7151.78571428572</v>
      </c>
      <c r="Z30" s="44" t="n">
        <f aca="false">Z18*Assumptions!$C$30</f>
        <v>7151.78571428572</v>
      </c>
      <c r="AA30" s="44" t="n">
        <f aca="false">AA18*Assumptions!$C$30</f>
        <v>7151.78571428572</v>
      </c>
      <c r="AB30" s="44" t="n">
        <f aca="false">AB18*Assumptions!$C$30</f>
        <v>7151.78571428572</v>
      </c>
      <c r="AC30" s="44" t="n">
        <f aca="false">AC18*Assumptions!$C$30</f>
        <v>7151.78571428572</v>
      </c>
      <c r="AD30" s="44" t="n">
        <f aca="false">AD18*Assumptions!$C$30</f>
        <v>7151.78571428572</v>
      </c>
      <c r="AE30" s="44" t="n">
        <f aca="false">AE18*Assumptions!$C$30</f>
        <v>7151.78571428572</v>
      </c>
      <c r="AF30" s="44" t="n">
        <f aca="false">AF18*Assumptions!$C$30</f>
        <v>7151.78571428572</v>
      </c>
      <c r="AG30" s="44" t="n">
        <f aca="false">AG18*Assumptions!$C$30</f>
        <v>7151.78571428572</v>
      </c>
      <c r="AH30" s="44" t="n">
        <f aca="false">AH18*Assumptions!$C$30</f>
        <v>7151.78571428572</v>
      </c>
      <c r="AI30" s="44" t="n">
        <f aca="false">AI18*Assumptions!$C$30</f>
        <v>7151.78571428572</v>
      </c>
      <c r="AJ30" s="44" t="n">
        <f aca="false">AJ18*Assumptions!$C$30</f>
        <v>7151.78571428572</v>
      </c>
      <c r="AK30" s="44" t="n">
        <f aca="false">AK18*Assumptions!$C$30</f>
        <v>7151.78571428572</v>
      </c>
    </row>
    <row r="31" customFormat="false" ht="15" hidden="false" customHeight="true" outlineLevel="0" collapsed="false">
      <c r="A31" s="4" t="s">
        <v>364</v>
      </c>
      <c r="B31" s="44" t="n">
        <f aca="false">B20*Assumptions!$C$30</f>
        <v>0</v>
      </c>
      <c r="C31" s="44" t="n">
        <f aca="false">C20*Assumptions!$C$30</f>
        <v>0</v>
      </c>
      <c r="D31" s="44" t="n">
        <f aca="false">D20*Assumptions!$C$30</f>
        <v>0</v>
      </c>
      <c r="E31" s="44" t="n">
        <f aca="false">E20*Assumptions!$C$30</f>
        <v>0</v>
      </c>
      <c r="F31" s="44" t="n">
        <f aca="false">F20*Assumptions!$C$30</f>
        <v>0</v>
      </c>
      <c r="G31" s="44" t="n">
        <f aca="false">G20*Assumptions!$C$30</f>
        <v>0</v>
      </c>
      <c r="H31" s="44" t="n">
        <f aca="false">H20*Assumptions!$C$30</f>
        <v>0</v>
      </c>
      <c r="I31" s="44" t="n">
        <f aca="false">I20*Assumptions!$C$30</f>
        <v>0</v>
      </c>
      <c r="J31" s="44" t="n">
        <f aca="false">J20*Assumptions!$C$30</f>
        <v>0</v>
      </c>
      <c r="K31" s="44" t="n">
        <f aca="false">K20*Assumptions!$C$30</f>
        <v>0</v>
      </c>
      <c r="L31" s="44" t="n">
        <f aca="false">L20*Assumptions!$C$30</f>
        <v>0</v>
      </c>
      <c r="M31" s="44" t="n">
        <f aca="false">M20*Assumptions!$C$30</f>
        <v>0</v>
      </c>
      <c r="N31" s="44" t="n">
        <f aca="false">N20*Assumptions!$C$30</f>
        <v>0</v>
      </c>
      <c r="O31" s="44" t="n">
        <f aca="false">O20*Assumptions!$C$30</f>
        <v>0</v>
      </c>
      <c r="P31" s="44" t="n">
        <f aca="false">P20*Assumptions!$C$30</f>
        <v>0</v>
      </c>
      <c r="Q31" s="44" t="n">
        <f aca="false">Q20*Assumptions!$C$30</f>
        <v>2401.41675210652</v>
      </c>
      <c r="R31" s="44" t="n">
        <f aca="false">R20*Assumptions!$C$30</f>
        <v>2402.65465875802</v>
      </c>
      <c r="S31" s="44" t="n">
        <f aca="false">S20*Assumptions!$C$30</f>
        <v>2403.90494447604</v>
      </c>
      <c r="T31" s="44" t="n">
        <f aca="false">T20*Assumptions!$C$30</f>
        <v>4263.38822994564</v>
      </c>
      <c r="U31" s="44" t="n">
        <f aca="false">U20*Assumptions!$C$30</f>
        <v>4264.66364640659</v>
      </c>
      <c r="V31" s="44" t="n">
        <f aca="false">V20*Assumptions!$C$30</f>
        <v>4265.95181703215</v>
      </c>
      <c r="W31" s="44" t="n">
        <f aca="false">W20*Assumptions!$C$30</f>
        <v>3427.50392169577</v>
      </c>
      <c r="X31" s="44" t="n">
        <f aca="false">X20*Assumptions!$C$30</f>
        <v>3430.15806845267</v>
      </c>
      <c r="Y31" s="44" t="n">
        <f aca="false">Y20*Assumptions!$C$30</f>
        <v>3432.8652981447</v>
      </c>
      <c r="Z31" s="44" t="n">
        <f aca="false">Z20*Assumptions!$C$30</f>
        <v>3540.10493330014</v>
      </c>
      <c r="AA31" s="44" t="n">
        <f aca="false">AA20*Assumptions!$C$30</f>
        <v>3542.92153507174</v>
      </c>
      <c r="AB31" s="44" t="n">
        <f aca="false">AB20*Assumptions!$C$30</f>
        <v>3545.79446887876</v>
      </c>
      <c r="AC31" s="44" t="n">
        <f aca="false">AC20*Assumptions!$C$30</f>
        <v>4629.36239980986</v>
      </c>
      <c r="AD31" s="44" t="n">
        <f aca="false">AD20*Assumptions!$C$30</f>
        <v>4632.90845813586</v>
      </c>
      <c r="AE31" s="44" t="n">
        <f aca="false">AE20*Assumptions!$C$30</f>
        <v>4636.51986704846</v>
      </c>
      <c r="AF31" s="44" t="n">
        <f aca="false">AF20*Assumptions!$C$30</f>
        <v>6549.16495859891</v>
      </c>
      <c r="AG31" s="44" t="n">
        <f aca="false">AG20*Assumptions!$C$30</f>
        <v>6552.91084707154</v>
      </c>
      <c r="AH31" s="44" t="n">
        <f aca="false">AH20*Assumptions!$C$30</f>
        <v>6556.72591393954</v>
      </c>
      <c r="AI31" s="44" t="n">
        <f aca="false">AI20*Assumptions!$C$30</f>
        <v>6182.72445892641</v>
      </c>
      <c r="AJ31" s="44" t="n">
        <f aca="false">AJ20*Assumptions!$C$30</f>
        <v>6187.28492481301</v>
      </c>
      <c r="AK31" s="44" t="n">
        <f aca="false">AK20*Assumptions!$C$30</f>
        <v>6191.93660001734</v>
      </c>
    </row>
    <row r="32" customFormat="false" ht="15" hidden="false" customHeight="true" outlineLevel="0" collapsed="false">
      <c r="A32" s="16" t="s">
        <v>365</v>
      </c>
      <c r="B32" s="50" t="n">
        <f aca="false">SUM(B28:B31)</f>
        <v>0</v>
      </c>
      <c r="C32" s="50" t="n">
        <f aca="false">SUM(C28:C31)</f>
        <v>0</v>
      </c>
      <c r="D32" s="50" t="n">
        <f aca="false">SUM(D28:D31)</f>
        <v>0</v>
      </c>
      <c r="E32" s="50" t="n">
        <f aca="false">SUM(E28:E31)</f>
        <v>5696.44213956522</v>
      </c>
      <c r="F32" s="50" t="n">
        <f aca="false">SUM(F28:F31)</f>
        <v>6857.66019822522</v>
      </c>
      <c r="G32" s="50" t="n">
        <f aca="false">SUM(G28:G31)</f>
        <v>7926.82833779502</v>
      </c>
      <c r="H32" s="50" t="n">
        <f aca="false">SUM(H28:H31)</f>
        <v>13858.523996002</v>
      </c>
      <c r="I32" s="50" t="n">
        <f aca="false">SUM(I28:I31)</f>
        <v>15661.519990991</v>
      </c>
      <c r="J32" s="50" t="n">
        <f aca="false">SUM(J28:J31)</f>
        <v>17321.1495128568</v>
      </c>
      <c r="K32" s="50" t="n">
        <f aca="false">SUM(K28:K31)</f>
        <v>16961.8143246191</v>
      </c>
      <c r="L32" s="50" t="n">
        <f aca="false">SUM(L28:L31)</f>
        <v>17966.1459415547</v>
      </c>
      <c r="M32" s="50" t="n">
        <f aca="false">SUM(M28:M31)</f>
        <v>18892.0078190519</v>
      </c>
      <c r="N32" s="50" t="n">
        <f aca="false">SUM(N28:N31)</f>
        <v>19980.4976807599</v>
      </c>
      <c r="O32" s="50" t="n">
        <f aca="false">SUM(O28:O31)</f>
        <v>20818.2609657602</v>
      </c>
      <c r="P32" s="50" t="n">
        <f aca="false">SUM(P28:P31)</f>
        <v>21590.9948524343</v>
      </c>
      <c r="Q32" s="50" t="n">
        <f aca="false">SUM(Q28:Q31)</f>
        <v>24705.3582780441</v>
      </c>
      <c r="R32" s="50" t="n">
        <f aca="false">SUM(R28:R31)</f>
        <v>25364.5792520371</v>
      </c>
      <c r="S32" s="50" t="n">
        <f aca="false">SUM(S28:S31)</f>
        <v>25973.2875299821</v>
      </c>
      <c r="T32" s="50" t="n">
        <f aca="false">SUM(T28:T31)</f>
        <v>31340.2165814073</v>
      </c>
      <c r="U32" s="50" t="n">
        <f aca="false">SUM(U28:U31)</f>
        <v>32377.326775345</v>
      </c>
      <c r="V32" s="50" t="n">
        <f aca="false">SUM(V28:V31)</f>
        <v>33333.8258789311</v>
      </c>
      <c r="W32" s="50" t="n">
        <f aca="false">SUM(W28:W31)</f>
        <v>33376.4598383543</v>
      </c>
      <c r="X32" s="50" t="n">
        <f aca="false">SUM(X28:X31)</f>
        <v>34192.0428438543</v>
      </c>
      <c r="Y32" s="50" t="n">
        <f aca="false">SUM(Y28:Y31)</f>
        <v>34945.0248470017</v>
      </c>
      <c r="Z32" s="50" t="n">
        <f aca="false">SUM(Z28:Z31)</f>
        <v>35744.9451016161</v>
      </c>
      <c r="AA32" s="50" t="n">
        <f aca="false">SUM(AA28:AA31)</f>
        <v>36387.5042577274</v>
      </c>
      <c r="AB32" s="50" t="n">
        <f aca="false">SUM(AB28:AB31)</f>
        <v>36981.4662536532</v>
      </c>
      <c r="AC32" s="50" t="n">
        <f aca="false">SUM(AC28:AC31)</f>
        <v>38611.4125521025</v>
      </c>
      <c r="AD32" s="50" t="n">
        <f aca="false">SUM(AD28:AD31)</f>
        <v>39120.2546675213</v>
      </c>
      <c r="AE32" s="50" t="n">
        <f aca="false">SUM(AE28:AE31)</f>
        <v>39591.4189671151</v>
      </c>
      <c r="AF32" s="50" t="n">
        <f aca="false">SUM(AF28:AF31)</f>
        <v>41936.946846611</v>
      </c>
      <c r="AG32" s="50" t="n">
        <f aca="false">SUM(AG28:AG31)</f>
        <v>42341.7337110827</v>
      </c>
      <c r="AH32" s="50" t="n">
        <f aca="false">SUM(AH28:AH31)</f>
        <v>42717.3510631808</v>
      </c>
      <c r="AI32" s="50" t="n">
        <f aca="false">SUM(AI28:AI31)</f>
        <v>42688.3091896366</v>
      </c>
      <c r="AJ32" s="50" t="n">
        <f aca="false">SUM(AJ28:AJ31)</f>
        <v>43013.191979113</v>
      </c>
      <c r="AK32" s="50" t="n">
        <f aca="false">SUM(AK28:AK31)</f>
        <v>43315.558890831</v>
      </c>
    </row>
    <row r="33" customFormat="false" ht="15" hidden="false" customHeight="true" outlineLevel="0" collapsed="false">
      <c r="A33" s="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</row>
    <row r="34" customFormat="false" ht="15" hidden="false" customHeight="true" outlineLevel="0" collapsed="false">
      <c r="A34" s="4" t="s">
        <v>366</v>
      </c>
      <c r="B34" s="44" t="n">
        <f aca="false">B24*Assumptions!$C$37</f>
        <v>0</v>
      </c>
      <c r="C34" s="44" t="n">
        <f aca="false">C24*Assumptions!$C$37</f>
        <v>0</v>
      </c>
      <c r="D34" s="44" t="n">
        <f aca="false">D24*Assumptions!$C$37</f>
        <v>0</v>
      </c>
      <c r="E34" s="44" t="n">
        <f aca="false">E24*Assumptions!$C$37</f>
        <v>702.405758147719</v>
      </c>
      <c r="F34" s="44" t="n">
        <f aca="false">F24*Assumptions!$C$37</f>
        <v>1348.9811388844</v>
      </c>
      <c r="G34" s="44" t="n">
        <f aca="false">G24*Assumptions!$C$37</f>
        <v>1944.19619323533</v>
      </c>
      <c r="H34" s="44" t="n">
        <f aca="false">H24*Assumptions!$C$37</f>
        <v>3035.6862126201</v>
      </c>
      <c r="I34" s="44" t="n">
        <f aca="false">I24*Assumptions!$C$37</f>
        <v>4040.23008517915</v>
      </c>
      <c r="J34" s="44" t="n">
        <f aca="false">J24*Assumptions!$C$37</f>
        <v>4964.78723320579</v>
      </c>
      <c r="K34" s="44" t="n">
        <f aca="false">K24*Assumptions!$C$37</f>
        <v>5570.1368172797</v>
      </c>
      <c r="L34" s="44" t="n">
        <f aca="false">L24*Assumptions!$C$37</f>
        <v>6127.83476300276</v>
      </c>
      <c r="M34" s="44" t="n">
        <f aca="false">M24*Assumptions!$C$37</f>
        <v>6641.70872801053</v>
      </c>
      <c r="N34" s="44" t="n">
        <f aca="false">N24*Assumptions!$C$37</f>
        <v>7145.83998318341</v>
      </c>
      <c r="O34" s="44" t="n">
        <f aca="false">O24*Assumptions!$C$37</f>
        <v>7610.46458382471</v>
      </c>
      <c r="P34" s="44" t="n">
        <f aca="false">P24*Assumptions!$C$37</f>
        <v>8038.75953921459</v>
      </c>
      <c r="Q34" s="44" t="n">
        <f aca="false">Q24*Assumptions!$C$37</f>
        <v>8433.64802742916</v>
      </c>
      <c r="R34" s="44" t="n">
        <f aca="false">R24*Assumptions!$C$37</f>
        <v>8797.81970842758</v>
      </c>
      <c r="S34" s="44" t="n">
        <f aca="false">S24*Assumptions!$C$37</f>
        <v>9133.74941222394</v>
      </c>
      <c r="T34" s="44" t="n">
        <f aca="false">T24*Assumptions!$C$37</f>
        <v>9757.4950698449</v>
      </c>
      <c r="U34" s="44" t="n">
        <f aca="false">U24*Assumptions!$C$37</f>
        <v>10332.268859128</v>
      </c>
      <c r="V34" s="44" t="n">
        <f aca="false">V24*Assumptions!$C$37</f>
        <v>10862.0070852258</v>
      </c>
      <c r="W34" s="44" t="n">
        <f aca="false">W24*Assumptions!$C$37</f>
        <v>11350.3315199922</v>
      </c>
      <c r="X34" s="44" t="n">
        <f aca="false">X24*Assumptions!$C$37</f>
        <v>11800.5745720688</v>
      </c>
      <c r="Y34" s="44" t="n">
        <f aca="false">Y24*Assumptions!$C$37</f>
        <v>12215.8024435127</v>
      </c>
      <c r="Z34" s="44" t="n">
        <f aca="false">Z24*Assumptions!$C$37</f>
        <v>12598.8364340451</v>
      </c>
      <c r="AA34" s="44" t="n">
        <f aca="false">AA24*Assumptions!$C$37</f>
        <v>12952.2725411151</v>
      </c>
      <c r="AB34" s="44" t="n">
        <f aca="false">AB24*Assumptions!$C$37</f>
        <v>13278.4994921152</v>
      </c>
      <c r="AC34" s="44" t="n">
        <f aca="false">AC24*Assumptions!$C$37</f>
        <v>13579.715334181</v>
      </c>
      <c r="AD34" s="44" t="n">
        <f aca="false">AD24*Assumptions!$C$37</f>
        <v>13857.9426969701</v>
      </c>
      <c r="AE34" s="44" t="n">
        <f aca="false">AE24*Assumptions!$C$37</f>
        <v>14115.0428345864</v>
      </c>
      <c r="AF34" s="44" t="n">
        <f aca="false">AF24*Assumptions!$C$37</f>
        <v>14352.7285443207</v>
      </c>
      <c r="AG34" s="44" t="n">
        <f aca="false">AG24*Assumptions!$C$37</f>
        <v>14572.5760520662</v>
      </c>
      <c r="AH34" s="44" t="n">
        <f aca="false">AH24*Assumptions!$C$37</f>
        <v>14776.0359470778</v>
      </c>
      <c r="AI34" s="44" t="n">
        <f aca="false">AI24*Assumptions!$C$37</f>
        <v>14964.4432421318</v>
      </c>
      <c r="AJ34" s="44" t="n">
        <f aca="false">AJ24*Assumptions!$C$37</f>
        <v>15139.0266290578</v>
      </c>
      <c r="AK34" s="44" t="n">
        <f aca="false">AK24*Assumptions!$C$37</f>
        <v>15300.9169940155</v>
      </c>
    </row>
    <row r="35" customFormat="false" ht="15" hidden="false" customHeight="true" outlineLevel="0" collapsed="false">
      <c r="A35" s="4" t="s">
        <v>367</v>
      </c>
      <c r="B35" s="44" t="n">
        <f aca="false">B17*Assumptions!$C$39</f>
        <v>0</v>
      </c>
      <c r="C35" s="44" t="n">
        <f aca="false">C17*Assumptions!$C$39</f>
        <v>0</v>
      </c>
      <c r="D35" s="44" t="n">
        <f aca="false">D17*Assumptions!$C$39</f>
        <v>0</v>
      </c>
      <c r="E35" s="44" t="n">
        <f aca="false">E17*Assumptions!$C$39</f>
        <v>1410.72682242765</v>
      </c>
      <c r="F35" s="44" t="n">
        <f aca="false">F17*Assumptions!$C$39</f>
        <v>1411.69665658208</v>
      </c>
      <c r="G35" s="44" t="n">
        <f aca="false">G17*Assumptions!$C$39</f>
        <v>1412.67618907805</v>
      </c>
      <c r="H35" s="44" t="n">
        <f aca="false">H17*Assumptions!$C$39</f>
        <v>1659.22503222329</v>
      </c>
      <c r="I35" s="44" t="n">
        <f aca="false">I17*Assumptions!$C$39</f>
        <v>1660.22425332243</v>
      </c>
      <c r="J35" s="44" t="n">
        <f aca="false">J17*Assumptions!$C$39</f>
        <v>1661.23346663256</v>
      </c>
      <c r="K35" s="44" t="n">
        <f aca="false">K17*Assumptions!$C$39</f>
        <v>1004.35404473214</v>
      </c>
      <c r="L35" s="44" t="n">
        <f aca="false">L17*Assumptions!$C$39</f>
        <v>1006.43342783633</v>
      </c>
      <c r="M35" s="44" t="n">
        <f aca="false">M17*Assumptions!$C$39</f>
        <v>1008.55439860261</v>
      </c>
      <c r="N35" s="44" t="n">
        <f aca="false">N17*Assumptions!$C$39</f>
        <v>1092.57096055898</v>
      </c>
      <c r="O35" s="44" t="n">
        <f aca="false">O17*Assumptions!$C$39</f>
        <v>1094.77761854421</v>
      </c>
      <c r="P35" s="44" t="n">
        <f aca="false">P17*Assumptions!$C$39</f>
        <v>1097.02840968915</v>
      </c>
      <c r="Q35" s="44" t="n">
        <f aca="false">Q17*Assumptions!$C$39</f>
        <v>1099.32421665699</v>
      </c>
      <c r="R35" s="44" t="n">
        <f aca="false">R17*Assumptions!$C$39</f>
        <v>1101.66593976419</v>
      </c>
      <c r="S35" s="44" t="n">
        <f aca="false">S17*Assumptions!$C$39</f>
        <v>1104.05449733353</v>
      </c>
      <c r="T35" s="44" t="n">
        <f aca="false">T17*Assumptions!$C$39</f>
        <v>1106.49082605425</v>
      </c>
      <c r="U35" s="44" t="n">
        <f aca="false">U17*Assumptions!$C$39</f>
        <v>1108.97588134939</v>
      </c>
      <c r="V35" s="44" t="n">
        <f aca="false">V17*Assumptions!$C$39</f>
        <v>1111.51063775044</v>
      </c>
      <c r="W35" s="44" t="n">
        <f aca="false">W17*Assumptions!$C$39</f>
        <v>1114.0960892795</v>
      </c>
      <c r="X35" s="44" t="n">
        <f aca="false">X17*Assumptions!$C$39</f>
        <v>1116.73324983915</v>
      </c>
      <c r="Y35" s="44" t="n">
        <f aca="false">Y17*Assumptions!$C$39</f>
        <v>1119.42315360999</v>
      </c>
      <c r="Z35" s="44" t="n">
        <f aca="false">Z17*Assumptions!$C$39</f>
        <v>1122.16685545624</v>
      </c>
      <c r="AA35" s="44" t="n">
        <f aca="false">AA17*Assumptions!$C$39</f>
        <v>1124.96543133942</v>
      </c>
      <c r="AB35" s="44" t="n">
        <f aca="false">AB17*Assumptions!$C$39</f>
        <v>1127.81997874027</v>
      </c>
      <c r="AC35" s="44" t="n">
        <f aca="false">AC17*Assumptions!$C$39</f>
        <v>1130.73161708913</v>
      </c>
      <c r="AD35" s="44" t="n">
        <f aca="false">AD17*Assumptions!$C$39</f>
        <v>1133.70148820497</v>
      </c>
      <c r="AE35" s="44" t="n">
        <f aca="false">AE17*Assumptions!$C$39</f>
        <v>1136.73075674312</v>
      </c>
      <c r="AF35" s="44" t="n">
        <f aca="false">AF17*Assumptions!$C$39</f>
        <v>1139.82061065204</v>
      </c>
      <c r="AG35" s="44" t="n">
        <f aca="false">AG17*Assumptions!$C$39</f>
        <v>1142.97226163914</v>
      </c>
      <c r="AH35" s="44" t="n">
        <f aca="false">AH17*Assumptions!$C$39</f>
        <v>1146.18694564597</v>
      </c>
      <c r="AI35" s="44" t="n">
        <f aca="false">AI17*Assumptions!$C$39</f>
        <v>1149.46592333295</v>
      </c>
      <c r="AJ35" s="44" t="n">
        <f aca="false">AJ17*Assumptions!$C$39</f>
        <v>1152.81048057366</v>
      </c>
      <c r="AK35" s="44" t="n">
        <f aca="false">AK17*Assumptions!$C$39</f>
        <v>1156.22192895919</v>
      </c>
    </row>
    <row r="36" customFormat="false" ht="15" hidden="false" customHeight="true" outlineLevel="0" collapsed="false">
      <c r="A36" s="4" t="s">
        <v>368</v>
      </c>
      <c r="B36" s="44" t="n">
        <f aca="false">SUM(B18,B20)*Assumptions!$C$38</f>
        <v>0</v>
      </c>
      <c r="C36" s="44" t="n">
        <f aca="false">SUM(C18,C20)*Assumptions!$C$38</f>
        <v>0</v>
      </c>
      <c r="D36" s="44" t="n">
        <f aca="false">SUM(D18,D20)*Assumptions!$C$38</f>
        <v>0</v>
      </c>
      <c r="E36" s="44" t="n">
        <f aca="false">SUM(E18,E20)*Assumptions!$C$38</f>
        <v>672.295081967213</v>
      </c>
      <c r="F36" s="44" t="n">
        <f aca="false">SUM(F18,F20)*Assumptions!$C$38</f>
        <v>672.295081967213</v>
      </c>
      <c r="G36" s="44" t="n">
        <f aca="false">SUM(G18,G20)*Assumptions!$C$38</f>
        <v>672.295081967213</v>
      </c>
      <c r="H36" s="44" t="n">
        <f aca="false">SUM(H18,H20)*Assumptions!$C$38</f>
        <v>2401.05386416862</v>
      </c>
      <c r="I36" s="44" t="n">
        <f aca="false">SUM(I18,I20)*Assumptions!$C$38</f>
        <v>2401.05386416862</v>
      </c>
      <c r="J36" s="44" t="n">
        <f aca="false">SUM(J18,J20)*Assumptions!$C$38</f>
        <v>2401.05386416862</v>
      </c>
      <c r="K36" s="44" t="n">
        <f aca="false">SUM(K18,K20)*Assumptions!$C$38</f>
        <v>2401.05386416862</v>
      </c>
      <c r="L36" s="44" t="n">
        <f aca="false">SUM(L18,L20)*Assumptions!$C$38</f>
        <v>2401.05386416862</v>
      </c>
      <c r="M36" s="44" t="n">
        <f aca="false">SUM(M18,M20)*Assumptions!$C$38</f>
        <v>2401.05386416862</v>
      </c>
      <c r="N36" s="44" t="n">
        <f aca="false">SUM(N18,N20)*Assumptions!$C$38</f>
        <v>2401.05386416862</v>
      </c>
      <c r="O36" s="44" t="n">
        <f aca="false">SUM(O18,O20)*Assumptions!$C$38</f>
        <v>2401.05386416862</v>
      </c>
      <c r="P36" s="44" t="n">
        <f aca="false">SUM(P18,P20)*Assumptions!$C$38</f>
        <v>2401.05386416862</v>
      </c>
      <c r="Q36" s="44" t="n">
        <f aca="false">SUM(Q18,Q20)*Assumptions!$C$38</f>
        <v>3610.38770101873</v>
      </c>
      <c r="R36" s="44" t="n">
        <f aca="false">SUM(R18,R20)*Assumptions!$C$38</f>
        <v>3611.01110068445</v>
      </c>
      <c r="S36" s="44" t="n">
        <f aca="false">SUM(S18,S20)*Assumptions!$C$38</f>
        <v>3611.64073434683</v>
      </c>
      <c r="T36" s="44" t="n">
        <f aca="false">SUM(T18,T20)*Assumptions!$C$38</f>
        <v>5748.58824157829</v>
      </c>
      <c r="U36" s="44" t="n">
        <f aca="false">SUM(U18,U20)*Assumptions!$C$38</f>
        <v>5749.23053087728</v>
      </c>
      <c r="V36" s="44" t="n">
        <f aca="false">SUM(V18,V20)*Assumptions!$C$38</f>
        <v>5749.87924306926</v>
      </c>
      <c r="W36" s="44" t="n">
        <f aca="false">SUM(W18,W20)*Assumptions!$C$38</f>
        <v>5327.64374005772</v>
      </c>
      <c r="X36" s="44" t="n">
        <f aca="false">SUM(X18,X20)*Assumptions!$C$38</f>
        <v>5328.98034665808</v>
      </c>
      <c r="Y36" s="44" t="n">
        <f aca="false">SUM(Y18,Y20)*Assumptions!$C$38</f>
        <v>5330.34368539045</v>
      </c>
      <c r="Z36" s="44" t="n">
        <f aca="false">SUM(Z18,Z20)*Assumptions!$C$38</f>
        <v>5384.34868861664</v>
      </c>
      <c r="AA36" s="44" t="n">
        <f aca="false">SUM(AA18,AA20)*Assumptions!$C$38</f>
        <v>5385.76710623379</v>
      </c>
      <c r="AB36" s="44" t="n">
        <f aca="false">SUM(AB18,AB20)*Assumptions!$C$38</f>
        <v>5387.21389220329</v>
      </c>
      <c r="AC36" s="44" t="n">
        <f aca="false">SUM(AC18,AC20)*Assumptions!$C$38</f>
        <v>5932.88984047473</v>
      </c>
      <c r="AD36" s="44" t="n">
        <f aca="false">SUM(AD18,AD20)*Assumptions!$C$38</f>
        <v>5934.67560644697</v>
      </c>
      <c r="AE36" s="44" t="n">
        <f aca="false">SUM(AE18,AE20)*Assumptions!$C$38</f>
        <v>5936.49428244016</v>
      </c>
      <c r="AF36" s="44" t="n">
        <f aca="false">SUM(AF18,AF20)*Assumptions!$C$38</f>
        <v>6899.68670835634</v>
      </c>
      <c r="AG36" s="44" t="n">
        <f aca="false">SUM(AG18,AG20)*Assumptions!$C$38</f>
        <v>6901.57310715615</v>
      </c>
      <c r="AH36" s="44" t="n">
        <f aca="false">SUM(AH18,AH20)*Assumptions!$C$38</f>
        <v>6903.49434363011</v>
      </c>
      <c r="AI36" s="44" t="n">
        <f aca="false">SUM(AI18,AI20)*Assumptions!$C$38</f>
        <v>6715.15026958223</v>
      </c>
      <c r="AJ36" s="44" t="n">
        <f aca="false">SUM(AJ18,AJ20)*Assumptions!$C$38</f>
        <v>6717.44688290586</v>
      </c>
      <c r="AK36" s="44" t="n">
        <f aca="false">SUM(AK18,AK20)*Assumptions!$C$38</f>
        <v>6719.78942849596</v>
      </c>
    </row>
    <row r="37" customFormat="false" ht="15" hidden="false" customHeight="true" outlineLevel="0" collapsed="false">
      <c r="A37" s="4" t="s">
        <v>369</v>
      </c>
      <c r="B37" s="44" t="n">
        <f aca="false">SUM(B34:B36)</f>
        <v>0</v>
      </c>
      <c r="C37" s="44" t="n">
        <f aca="false">SUM(C34:C36)</f>
        <v>0</v>
      </c>
      <c r="D37" s="44" t="n">
        <f aca="false">SUM(D34:D36)</f>
        <v>0</v>
      </c>
      <c r="E37" s="44" t="n">
        <f aca="false">SUM(E34:E36)</f>
        <v>2785.42766254259</v>
      </c>
      <c r="F37" s="44" t="n">
        <f aca="false">SUM(F34:F36)</f>
        <v>3432.97287743369</v>
      </c>
      <c r="G37" s="44" t="n">
        <f aca="false">SUM(G34:G36)</f>
        <v>4029.1674642806</v>
      </c>
      <c r="H37" s="44" t="n">
        <f aca="false">SUM(H34:H36)</f>
        <v>7095.96510901201</v>
      </c>
      <c r="I37" s="44" t="n">
        <f aca="false">SUM(I34:I36)</f>
        <v>8101.5082026702</v>
      </c>
      <c r="J37" s="44" t="n">
        <f aca="false">SUM(J34:J36)</f>
        <v>9027.07456400696</v>
      </c>
      <c r="K37" s="44" t="n">
        <f aca="false">SUM(K34:K36)</f>
        <v>8975.54472618045</v>
      </c>
      <c r="L37" s="44" t="n">
        <f aca="false">SUM(L34:L36)</f>
        <v>9535.3220550077</v>
      </c>
      <c r="M37" s="44" t="n">
        <f aca="false">SUM(M34:M36)</f>
        <v>10051.3169907818</v>
      </c>
      <c r="N37" s="44" t="n">
        <f aca="false">SUM(N34:N36)</f>
        <v>10639.464807911</v>
      </c>
      <c r="O37" s="44" t="n">
        <f aca="false">SUM(O34:O36)</f>
        <v>11106.2960665375</v>
      </c>
      <c r="P37" s="44" t="n">
        <f aca="false">SUM(P34:P36)</f>
        <v>11536.8418130724</v>
      </c>
      <c r="Q37" s="44" t="n">
        <f aca="false">SUM(Q34:Q36)</f>
        <v>13143.3599451049</v>
      </c>
      <c r="R37" s="44" t="n">
        <f aca="false">SUM(R34:R36)</f>
        <v>13510.4967488762</v>
      </c>
      <c r="S37" s="44" t="n">
        <f aca="false">SUM(S34:S36)</f>
        <v>13849.4446439043</v>
      </c>
      <c r="T37" s="44" t="n">
        <f aca="false">SUM(T34:T36)</f>
        <v>16612.5741374774</v>
      </c>
      <c r="U37" s="44" t="n">
        <f aca="false">SUM(U34:U36)</f>
        <v>17190.4752713547</v>
      </c>
      <c r="V37" s="44" t="n">
        <f aca="false">SUM(V34:V36)</f>
        <v>17723.3969660455</v>
      </c>
      <c r="W37" s="44" t="n">
        <f aca="false">SUM(W34:W36)</f>
        <v>17792.0713493294</v>
      </c>
      <c r="X37" s="44" t="n">
        <f aca="false">SUM(X34:X36)</f>
        <v>18246.288168566</v>
      </c>
      <c r="Y37" s="44" t="n">
        <f aca="false">SUM(Y34:Y36)</f>
        <v>18665.5692825131</v>
      </c>
      <c r="Z37" s="44" t="n">
        <f aca="false">SUM(Z34:Z36)</f>
        <v>19105.351978118</v>
      </c>
      <c r="AA37" s="44" t="n">
        <f aca="false">SUM(AA34:AA36)</f>
        <v>19463.0050786883</v>
      </c>
      <c r="AB37" s="44" t="n">
        <f aca="false">SUM(AB34:AB36)</f>
        <v>19793.5333630588</v>
      </c>
      <c r="AC37" s="44" t="n">
        <f aca="false">SUM(AC34:AC36)</f>
        <v>20643.3367917449</v>
      </c>
      <c r="AD37" s="44" t="n">
        <f aca="false">SUM(AD34:AD36)</f>
        <v>20926.319791622</v>
      </c>
      <c r="AE37" s="44" t="n">
        <f aca="false">SUM(AE34:AE36)</f>
        <v>21188.2678737697</v>
      </c>
      <c r="AF37" s="44" t="n">
        <f aca="false">SUM(AF34:AF36)</f>
        <v>22392.2358633291</v>
      </c>
      <c r="AG37" s="44" t="n">
        <f aca="false">SUM(AG34:AG36)</f>
        <v>22617.1214208615</v>
      </c>
      <c r="AH37" s="44" t="n">
        <f aca="false">SUM(AH34:AH36)</f>
        <v>22825.7172363539</v>
      </c>
      <c r="AI37" s="44" t="n">
        <f aca="false">SUM(AI34:AI36)</f>
        <v>22829.059435047</v>
      </c>
      <c r="AJ37" s="44" t="n">
        <f aca="false">SUM(AJ34:AJ36)</f>
        <v>23009.2839925373</v>
      </c>
      <c r="AK37" s="44" t="n">
        <f aca="false">SUM(AK34:AK36)</f>
        <v>23176.9283514707</v>
      </c>
    </row>
    <row r="38" customFormat="false" ht="15" hidden="false" customHeight="true" outlineLevel="0" collapsed="false">
      <c r="A38" s="4" t="s">
        <v>370</v>
      </c>
      <c r="B38" s="44" t="n">
        <f aca="false">-B13</f>
        <v>-0</v>
      </c>
      <c r="C38" s="44" t="n">
        <f aca="false">-C13</f>
        <v>-0</v>
      </c>
      <c r="D38" s="44" t="n">
        <f aca="false">-D13</f>
        <v>-0</v>
      </c>
      <c r="E38" s="44" t="n">
        <f aca="false">-E13</f>
        <v>-0</v>
      </c>
      <c r="F38" s="44" t="n">
        <f aca="false">-F13</f>
        <v>-0</v>
      </c>
      <c r="G38" s="44" t="n">
        <f aca="false">-G13</f>
        <v>-0</v>
      </c>
      <c r="H38" s="44" t="n">
        <f aca="false">-H13</f>
        <v>-4000</v>
      </c>
      <c r="I38" s="44" t="n">
        <f aca="false">-I13</f>
        <v>-4000</v>
      </c>
      <c r="J38" s="44" t="n">
        <f aca="false">-J13</f>
        <v>-4000</v>
      </c>
      <c r="K38" s="44" t="n">
        <f aca="false">-K13</f>
        <v>-4000</v>
      </c>
      <c r="L38" s="44" t="n">
        <f aca="false">-L13</f>
        <v>-4000</v>
      </c>
      <c r="M38" s="44" t="n">
        <f aca="false">-M13</f>
        <v>-4000</v>
      </c>
      <c r="N38" s="44" t="n">
        <f aca="false">-N13</f>
        <v>-4000</v>
      </c>
      <c r="O38" s="44" t="n">
        <f aca="false">-O13</f>
        <v>-4000</v>
      </c>
      <c r="P38" s="44" t="n">
        <f aca="false">-P13</f>
        <v>-4000</v>
      </c>
      <c r="Q38" s="44" t="n">
        <f aca="false">-Q13</f>
        <v>-4000</v>
      </c>
      <c r="R38" s="44" t="n">
        <f aca="false">-R13</f>
        <v>-4000</v>
      </c>
      <c r="S38" s="44" t="n">
        <f aca="false">-S13</f>
        <v>-4000</v>
      </c>
      <c r="T38" s="44" t="n">
        <f aca="false">-T13</f>
        <v>-6000</v>
      </c>
      <c r="U38" s="44" t="n">
        <f aca="false">-U13</f>
        <v>-6000</v>
      </c>
      <c r="V38" s="44" t="n">
        <f aca="false">-V13</f>
        <v>-6000</v>
      </c>
      <c r="W38" s="44" t="n">
        <f aca="false">-W13</f>
        <v>-6000</v>
      </c>
      <c r="X38" s="44" t="n">
        <f aca="false">-X13</f>
        <v>-6000</v>
      </c>
      <c r="Y38" s="44" t="n">
        <f aca="false">-Y13</f>
        <v>-6000</v>
      </c>
      <c r="Z38" s="44" t="n">
        <f aca="false">-Z13</f>
        <v>-6000</v>
      </c>
      <c r="AA38" s="44" t="n">
        <f aca="false">-AA13</f>
        <v>-6000</v>
      </c>
      <c r="AB38" s="44" t="n">
        <f aca="false">-AB13</f>
        <v>-6000</v>
      </c>
      <c r="AC38" s="44" t="n">
        <f aca="false">-AC13</f>
        <v>-6000</v>
      </c>
      <c r="AD38" s="44" t="n">
        <f aca="false">-AD13</f>
        <v>-6000</v>
      </c>
      <c r="AE38" s="44" t="n">
        <f aca="false">-AE13</f>
        <v>-6000</v>
      </c>
      <c r="AF38" s="44" t="n">
        <f aca="false">-AF13</f>
        <v>-6000</v>
      </c>
      <c r="AG38" s="44" t="n">
        <f aca="false">-AG13</f>
        <v>-6000</v>
      </c>
      <c r="AH38" s="44" t="n">
        <f aca="false">-AH13</f>
        <v>-6000</v>
      </c>
      <c r="AI38" s="44" t="n">
        <f aca="false">-AI13</f>
        <v>-6000</v>
      </c>
      <c r="AJ38" s="44" t="n">
        <f aca="false">-AJ13</f>
        <v>-6000</v>
      </c>
      <c r="AK38" s="44" t="n">
        <f aca="false">-AK13</f>
        <v>-6000</v>
      </c>
    </row>
    <row r="39" customFormat="false" ht="15" hidden="false" customHeight="true" outlineLevel="0" collapsed="false">
      <c r="A39" s="16" t="s">
        <v>371</v>
      </c>
      <c r="B39" s="17" t="n">
        <f aca="false">SUM(B37:B38)</f>
        <v>0</v>
      </c>
      <c r="C39" s="17" t="n">
        <f aca="false">SUM(C37:C38)</f>
        <v>0</v>
      </c>
      <c r="D39" s="17" t="n">
        <f aca="false">SUM(D37:D38)</f>
        <v>0</v>
      </c>
      <c r="E39" s="17" t="n">
        <f aca="false">SUM(E37:E38)</f>
        <v>2785.42766254259</v>
      </c>
      <c r="F39" s="17" t="n">
        <f aca="false">SUM(F37:F38)</f>
        <v>3432.97287743369</v>
      </c>
      <c r="G39" s="17" t="n">
        <f aca="false">SUM(G37:G38)</f>
        <v>4029.1674642806</v>
      </c>
      <c r="H39" s="17" t="n">
        <f aca="false">SUM(H37:H38)</f>
        <v>3095.96510901201</v>
      </c>
      <c r="I39" s="17" t="n">
        <f aca="false">SUM(I37:I38)</f>
        <v>4101.5082026702</v>
      </c>
      <c r="J39" s="17" t="n">
        <f aca="false">SUM(J37:J38)</f>
        <v>5027.07456400696</v>
      </c>
      <c r="K39" s="17" t="n">
        <f aca="false">SUM(K37:K38)</f>
        <v>4975.54472618045</v>
      </c>
      <c r="L39" s="17" t="n">
        <f aca="false">SUM(L37:L38)</f>
        <v>5535.3220550077</v>
      </c>
      <c r="M39" s="17" t="n">
        <f aca="false">SUM(M37:M38)</f>
        <v>6051.31699078176</v>
      </c>
      <c r="N39" s="17" t="n">
        <f aca="false">SUM(N37:N38)</f>
        <v>6639.46480791101</v>
      </c>
      <c r="O39" s="17" t="n">
        <f aca="false">SUM(O37:O38)</f>
        <v>7106.29606653754</v>
      </c>
      <c r="P39" s="17" t="n">
        <f aca="false">SUM(P37:P38)</f>
        <v>7536.84181307236</v>
      </c>
      <c r="Q39" s="17" t="n">
        <f aca="false">SUM(Q37:Q38)</f>
        <v>9143.35994510488</v>
      </c>
      <c r="R39" s="17" t="n">
        <f aca="false">SUM(R37:R38)</f>
        <v>9510.49674887621</v>
      </c>
      <c r="S39" s="17" t="n">
        <f aca="false">SUM(S37:S38)</f>
        <v>9849.4446439043</v>
      </c>
      <c r="T39" s="17" t="n">
        <f aca="false">SUM(T37:T38)</f>
        <v>10612.5741374774</v>
      </c>
      <c r="U39" s="17" t="n">
        <f aca="false">SUM(U37:U38)</f>
        <v>11190.4752713547</v>
      </c>
      <c r="V39" s="17" t="n">
        <f aca="false">SUM(V37:V38)</f>
        <v>11723.3969660455</v>
      </c>
      <c r="W39" s="17" t="n">
        <f aca="false">SUM(W37:W38)</f>
        <v>11792.0713493294</v>
      </c>
      <c r="X39" s="17" t="n">
        <f aca="false">SUM(X37:X38)</f>
        <v>12246.288168566</v>
      </c>
      <c r="Y39" s="17" t="n">
        <f aca="false">SUM(Y37:Y38)</f>
        <v>12665.5692825131</v>
      </c>
      <c r="Z39" s="17" t="n">
        <f aca="false">SUM(Z37:Z38)</f>
        <v>13105.351978118</v>
      </c>
      <c r="AA39" s="17" t="n">
        <f aca="false">SUM(AA37:AA38)</f>
        <v>13463.0050786883</v>
      </c>
      <c r="AB39" s="17" t="n">
        <f aca="false">SUM(AB37:AB38)</f>
        <v>13793.5333630588</v>
      </c>
      <c r="AC39" s="17" t="n">
        <f aca="false">SUM(AC37:AC38)</f>
        <v>14643.3367917449</v>
      </c>
      <c r="AD39" s="17" t="n">
        <f aca="false">SUM(AD37:AD38)</f>
        <v>14926.319791622</v>
      </c>
      <c r="AE39" s="17" t="n">
        <f aca="false">SUM(AE37:AE38)</f>
        <v>15188.2678737697</v>
      </c>
      <c r="AF39" s="17" t="n">
        <f aca="false">SUM(AF37:AF38)</f>
        <v>16392.2358633291</v>
      </c>
      <c r="AG39" s="17" t="n">
        <f aca="false">SUM(AG37:AG38)</f>
        <v>16617.1214208615</v>
      </c>
      <c r="AH39" s="17" t="n">
        <f aca="false">SUM(AH37:AH38)</f>
        <v>16825.7172363539</v>
      </c>
      <c r="AI39" s="17" t="n">
        <f aca="false">SUM(AI37:AI38)</f>
        <v>16829.059435047</v>
      </c>
      <c r="AJ39" s="17" t="n">
        <f aca="false">SUM(AJ37:AJ38)</f>
        <v>17009.2839925373</v>
      </c>
      <c r="AK39" s="17" t="n">
        <f aca="false">SUM(AK37:AK38)</f>
        <v>17176.9283514707</v>
      </c>
    </row>
    <row r="40" customFormat="false" ht="15" hidden="false" customHeight="true" outlineLevel="0" collapsed="false">
      <c r="A40" s="4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customFormat="false" ht="15" hidden="false" customHeight="true" outlineLevel="0" collapsed="false">
      <c r="A41" s="4" t="s">
        <v>372</v>
      </c>
      <c r="B41" s="12" t="n">
        <f aca="false">B24*Assumptions!$C$29+B25*Assumptions!$C$30/12</f>
        <v>0</v>
      </c>
      <c r="C41" s="12" t="n">
        <f aca="false">C24*Assumptions!$C$29+C25*Assumptions!$C$30/12</f>
        <v>0</v>
      </c>
      <c r="D41" s="12" t="n">
        <f aca="false">D24*Assumptions!$C$29+D25*Assumptions!$C$30/12</f>
        <v>0</v>
      </c>
      <c r="E41" s="12" t="n">
        <f aca="false">E24*Assumptions!$C$29+E25*Assumptions!$C$30/12</f>
        <v>1703.87663851087</v>
      </c>
      <c r="F41" s="12" t="n">
        <f aca="false">F24*Assumptions!$C$29+F25*Assumptions!$C$30/12</f>
        <v>3307.89802201902</v>
      </c>
      <c r="G41" s="12" t="n">
        <f aca="false">G24*Assumptions!$C$29+G25*Assumptions!$C$30/12</f>
        <v>4820.0796935985</v>
      </c>
      <c r="H41" s="12" t="n">
        <f aca="false">H24*Assumptions!$C$29+H25*Assumptions!$C$30/12</f>
        <v>7566.25895702341</v>
      </c>
      <c r="I41" s="12" t="n">
        <f aca="false">I24*Assumptions!$C$29+I25*Assumptions!$C$30/12</f>
        <v>10156.810132413</v>
      </c>
      <c r="J41" s="12" t="n">
        <f aca="false">J24*Assumptions!$C$29+J25*Assumptions!$C$30/12</f>
        <v>12604.2114113281</v>
      </c>
      <c r="K41" s="12" t="n">
        <f aca="false">K24*Assumptions!$C$29+K25*Assumptions!$C$30/12</f>
        <v>14324.1161447914</v>
      </c>
      <c r="L41" s="12" t="n">
        <f aca="false">L24*Assumptions!$C$29+L25*Assumptions!$C$30/12</f>
        <v>15959.0895315513</v>
      </c>
      <c r="M41" s="12" t="n">
        <f aca="false">M24*Assumptions!$C$29+M25*Assumptions!$C$30/12</f>
        <v>17516.0030639588</v>
      </c>
      <c r="N41" s="12" t="n">
        <f aca="false">N24*Assumptions!$C$29+N25*Assumptions!$C$30/12</f>
        <v>19075.3104894516</v>
      </c>
      <c r="O41" s="12" t="n">
        <f aca="false">O24*Assumptions!$C$29+O25*Assumptions!$C$30/12</f>
        <v>20564.3177826802</v>
      </c>
      <c r="P41" s="12" t="n">
        <f aca="false">P24*Assumptions!$C$29+P25*Assumptions!$C$30/12</f>
        <v>21988.7306509148</v>
      </c>
      <c r="Q41" s="12" t="n">
        <f aca="false">Q24*Assumptions!$C$29+Q25*Assumptions!$C$30/12</f>
        <v>23109.2112355074</v>
      </c>
      <c r="R41" s="12" t="n">
        <f aca="false">R24*Assumptions!$C$29+R25*Assumptions!$C$30/12</f>
        <v>24175.0546771083</v>
      </c>
      <c r="S41" s="12" t="n">
        <f aca="false">S24*Assumptions!$C$29+S25*Assumptions!$C$30/12</f>
        <v>25190.7072968588</v>
      </c>
      <c r="T41" s="12" t="n">
        <f aca="false">T24*Assumptions!$C$29+T25*Assumptions!$C$30/12</f>
        <v>26732.1588462062</v>
      </c>
      <c r="U41" s="12" t="n">
        <f aca="false">U24*Assumptions!$C$29+U25*Assumptions!$C$30/12</f>
        <v>28186.2783206808</v>
      </c>
      <c r="V41" s="12" t="n">
        <f aca="false">V24*Assumptions!$C$29+V25*Assumptions!$C$30/12</f>
        <v>29560.1325986958</v>
      </c>
      <c r="W41" s="12" t="n">
        <f aca="false">W24*Assumptions!$C$29+W25*Assumptions!$C$30/12</f>
        <v>30945.7549169636</v>
      </c>
      <c r="X41" s="12" t="n">
        <f aca="false">X24*Assumptions!$C$29+X25*Assumptions!$C$30/12</f>
        <v>32263.4635500379</v>
      </c>
      <c r="Y41" s="12" t="n">
        <f aca="false">Y24*Assumptions!$C$29+Y25*Assumptions!$C$30/12</f>
        <v>33518.7621948639</v>
      </c>
      <c r="Z41" s="12" t="n">
        <f aca="false">Z24*Assumptions!$C$29+Z25*Assumptions!$C$30/12</f>
        <v>34706.0743603259</v>
      </c>
      <c r="AA41" s="12" t="n">
        <f aca="false">AA24*Assumptions!$C$29+AA25*Assumptions!$C$30/12</f>
        <v>35840.7024192284</v>
      </c>
      <c r="AB41" s="12" t="n">
        <f aca="false">AB24*Assumptions!$C$29+AB25*Assumptions!$C$30/12</f>
        <v>36926.9360236411</v>
      </c>
      <c r="AC41" s="12" t="n">
        <f aca="false">AC24*Assumptions!$C$29+AC25*Assumptions!$C$30/12</f>
        <v>37858.6582174671</v>
      </c>
      <c r="AD41" s="12" t="n">
        <f aca="false">AD24*Assumptions!$C$29+AD25*Assumptions!$C$30/12</f>
        <v>38749.5108663351</v>
      </c>
      <c r="AE41" s="12" t="n">
        <f aca="false">AE24*Assumptions!$C$29+AE25*Assumptions!$C$30/12</f>
        <v>39602.8379369417</v>
      </c>
      <c r="AF41" s="12" t="n">
        <f aca="false">AF24*Assumptions!$C$29+AF25*Assumptions!$C$30/12</f>
        <v>40227.2855854755</v>
      </c>
      <c r="AG41" s="12" t="n">
        <f aca="false">AG24*Assumptions!$C$29+AG25*Assumptions!$C$30/12</f>
        <v>40820.1189640611</v>
      </c>
      <c r="AH41" s="12" t="n">
        <f aca="false">AH24*Assumptions!$C$29+AH25*Assumptions!$C$30/12</f>
        <v>41383.946329282</v>
      </c>
      <c r="AI41" s="12" t="n">
        <f aca="false">AI24*Assumptions!$C$29+AI25*Assumptions!$C$30/12</f>
        <v>41959.6574055403</v>
      </c>
      <c r="AJ41" s="12" t="n">
        <f aca="false">AJ24*Assumptions!$C$29+AJ25*Assumptions!$C$30/12</f>
        <v>42510.9130795139</v>
      </c>
      <c r="AK41" s="12" t="n">
        <f aca="false">AK24*Assumptions!$C$29+AK25*Assumptions!$C$30/12</f>
        <v>43039.747159118</v>
      </c>
    </row>
    <row r="42" customFormat="false" ht="15" hidden="false" customHeight="true" outlineLevel="0" collapsed="false">
      <c r="A42" s="47" t="s">
        <v>373</v>
      </c>
      <c r="B42" s="51" t="n">
        <f aca="false">B41*12</f>
        <v>0</v>
      </c>
      <c r="C42" s="51" t="n">
        <f aca="false">C41*12</f>
        <v>0</v>
      </c>
      <c r="D42" s="51" t="n">
        <f aca="false">D41*12</f>
        <v>0</v>
      </c>
      <c r="E42" s="51" t="n">
        <f aca="false">E41*12</f>
        <v>20446.5196621304</v>
      </c>
      <c r="F42" s="51" t="n">
        <f aca="false">F41*12</f>
        <v>39694.7762642283</v>
      </c>
      <c r="G42" s="51" t="n">
        <f aca="false">G41*12</f>
        <v>57840.956323182</v>
      </c>
      <c r="H42" s="51" t="n">
        <f aca="false">H41*12</f>
        <v>90795.107484281</v>
      </c>
      <c r="I42" s="51" t="n">
        <f aca="false">I41*12</f>
        <v>121881.721588956</v>
      </c>
      <c r="J42" s="51" t="n">
        <f aca="false">J41*12</f>
        <v>151250.536935938</v>
      </c>
      <c r="K42" s="51" t="n">
        <f aca="false">K41*12</f>
        <v>171889.393737496</v>
      </c>
      <c r="L42" s="51" t="n">
        <f aca="false">L41*12</f>
        <v>191509.074378615</v>
      </c>
      <c r="M42" s="51" t="n">
        <f aca="false">M41*12</f>
        <v>210192.036767505</v>
      </c>
      <c r="N42" s="51" t="n">
        <f aca="false">N41*12</f>
        <v>228903.725873419</v>
      </c>
      <c r="O42" s="51" t="n">
        <f aca="false">O41*12</f>
        <v>246771.813392163</v>
      </c>
      <c r="P42" s="51" t="n">
        <f aca="false">P41*12</f>
        <v>263864.767810978</v>
      </c>
      <c r="Q42" s="51" t="n">
        <f aca="false">Q41*12</f>
        <v>277310.534826089</v>
      </c>
      <c r="R42" s="51" t="n">
        <f aca="false">R41*12</f>
        <v>290100.656125299</v>
      </c>
      <c r="S42" s="51" t="n">
        <f aca="false">S41*12</f>
        <v>302288.487562306</v>
      </c>
      <c r="T42" s="51" t="n">
        <f aca="false">T41*12</f>
        <v>320785.906154474</v>
      </c>
      <c r="U42" s="51" t="n">
        <f aca="false">U41*12</f>
        <v>338235.33984817</v>
      </c>
      <c r="V42" s="51" t="n">
        <f aca="false">V41*12</f>
        <v>354721.59118435</v>
      </c>
      <c r="W42" s="51" t="n">
        <f aca="false">W41*12</f>
        <v>371349.059003563</v>
      </c>
      <c r="X42" s="51" t="n">
        <f aca="false">X41*12</f>
        <v>387161.562600455</v>
      </c>
      <c r="Y42" s="51" t="n">
        <f aca="false">Y41*12</f>
        <v>402225.146338367</v>
      </c>
      <c r="Z42" s="51" t="n">
        <f aca="false">Z41*12</f>
        <v>416472.89232391</v>
      </c>
      <c r="AA42" s="51" t="n">
        <f aca="false">AA41*12</f>
        <v>430088.429030741</v>
      </c>
      <c r="AB42" s="51" t="n">
        <f aca="false">AB41*12</f>
        <v>443123.232283693</v>
      </c>
      <c r="AC42" s="51" t="n">
        <f aca="false">AC41*12</f>
        <v>454303.898609606</v>
      </c>
      <c r="AD42" s="51" t="n">
        <f aca="false">AD41*12</f>
        <v>464994.130396021</v>
      </c>
      <c r="AE42" s="51" t="n">
        <f aca="false">AE41*12</f>
        <v>475234.0552433</v>
      </c>
      <c r="AF42" s="51" t="n">
        <f aca="false">AF41*12</f>
        <v>482727.427025705</v>
      </c>
      <c r="AG42" s="51" t="n">
        <f aca="false">AG41*12</f>
        <v>489841.427568734</v>
      </c>
      <c r="AH42" s="51" t="n">
        <f aca="false">AH41*12</f>
        <v>496607.355951384</v>
      </c>
      <c r="AI42" s="51" t="n">
        <f aca="false">AI41*12</f>
        <v>503515.888866483</v>
      </c>
      <c r="AJ42" s="51" t="n">
        <f aca="false">AJ41*12</f>
        <v>510130.956954167</v>
      </c>
      <c r="AK42" s="51" t="n">
        <f aca="false">AK41*12</f>
        <v>516476.965909416</v>
      </c>
    </row>
    <row r="43" customFormat="false" ht="15" hidden="false" customHeight="true" outlineLevel="0" collapsed="false">
      <c r="A43" s="4" t="s">
        <v>374</v>
      </c>
      <c r="B43" s="22" t="n">
        <f aca="false">B15</f>
        <v>0</v>
      </c>
      <c r="C43" s="22" t="n">
        <f aca="false">B43+C15</f>
        <v>0</v>
      </c>
      <c r="D43" s="22" t="n">
        <f aca="false">C43+D15</f>
        <v>0</v>
      </c>
      <c r="E43" s="22" t="n">
        <f aca="false">D43+E15</f>
        <v>199.868227391304</v>
      </c>
      <c r="F43" s="22" t="n">
        <f aca="false">E43+F15</f>
        <v>399.839484882609</v>
      </c>
      <c r="G43" s="22" t="n">
        <f aca="false">F43+G15</f>
        <v>599.914802774913</v>
      </c>
      <c r="H43" s="22" t="n">
        <f aca="false">G43+H15</f>
        <v>954.753606765395</v>
      </c>
      <c r="I43" s="22" t="n">
        <f aca="false">H43+I15</f>
        <v>1309.69856277094</v>
      </c>
      <c r="J43" s="22" t="n">
        <f aca="false">I43+J15</f>
        <v>1664.75073231169</v>
      </c>
      <c r="K43" s="22" t="n">
        <f aca="false">J43+K15</f>
        <v>1950.01947319357</v>
      </c>
      <c r="L43" s="22" t="n">
        <f aca="false">K43+L15</f>
        <v>2235.5091168434</v>
      </c>
      <c r="M43" s="22" t="n">
        <f aca="false">L43+M15</f>
        <v>2521.22408131653</v>
      </c>
      <c r="N43" s="22" t="n">
        <f aca="false">M43+N15</f>
        <v>2815.86452520335</v>
      </c>
      <c r="O43" s="22" t="n">
        <f aca="false">N43+O15</f>
        <v>3110.73939287474</v>
      </c>
      <c r="P43" s="22" t="n">
        <f aca="false">O43+P15</f>
        <v>3405.85337280639</v>
      </c>
      <c r="Q43" s="22" t="n">
        <f aca="false">P43+Q15</f>
        <v>3701.2112472435</v>
      </c>
      <c r="R43" s="22" t="n">
        <f aca="false">Q43+R15</f>
        <v>3996.81789407619</v>
      </c>
      <c r="S43" s="22" t="n">
        <f aca="false">R43+S15</f>
        <v>4292.67828875236</v>
      </c>
      <c r="T43" s="22" t="n">
        <f aca="false">S43+T15</f>
        <v>4678.08322051461</v>
      </c>
      <c r="U43" s="22" t="n">
        <f aca="false">T43+U15</f>
        <v>5063.75215153322</v>
      </c>
      <c r="V43" s="22" t="n">
        <f aca="false">U43+V15</f>
        <v>5449.69036179331</v>
      </c>
      <c r="W43" s="22" t="n">
        <f aca="false">V43+W15</f>
        <v>5835.90323687973</v>
      </c>
      <c r="X43" s="22" t="n">
        <f aca="false">W43+X15</f>
        <v>6222.396270089</v>
      </c>
      <c r="Y43" s="22" t="n">
        <f aca="false">X43+Y15</f>
        <v>6609.17506458356</v>
      </c>
      <c r="Z43" s="22" t="n">
        <f aca="false">Y43+Z15</f>
        <v>6996.24533558914</v>
      </c>
      <c r="AA43" s="22" t="n">
        <f aca="false">Z43+AA15</f>
        <v>7383.61291263595</v>
      </c>
      <c r="AB43" s="22" t="n">
        <f aca="false">AA43+AB15</f>
        <v>7771.28374184481</v>
      </c>
      <c r="AC43" s="22" t="n">
        <f aca="false">AB43+AC15</f>
        <v>8159.26388825896</v>
      </c>
      <c r="AD43" s="22" t="n">
        <f aca="false">AC43+AD15</f>
        <v>8547.55953822252</v>
      </c>
      <c r="AE43" s="22" t="n">
        <f aca="false">AD43+AE15</f>
        <v>8936.17700180646</v>
      </c>
      <c r="AF43" s="22" t="n">
        <f aca="false">AE43+AF15</f>
        <v>9325.12271528321</v>
      </c>
      <c r="AG43" s="22" t="n">
        <f aca="false">AF43+AG15</f>
        <v>9714.4032436506</v>
      </c>
      <c r="AH43" s="22" t="n">
        <f aca="false">AG43+AH15</f>
        <v>10104.0252832065</v>
      </c>
      <c r="AI43" s="22" t="n">
        <f aca="false">AH43+AI15</f>
        <v>10493.9956641746</v>
      </c>
      <c r="AJ43" s="22" t="n">
        <f aca="false">AI43+AJ15</f>
        <v>10884.3213533831</v>
      </c>
      <c r="AK43" s="22" t="n">
        <f aca="false">AJ43+AK15</f>
        <v>11275.009456997</v>
      </c>
    </row>
    <row r="44" customFormat="false" ht="15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customFormat="false" ht="15" hidden="false" customHeight="tru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customFormat="false" ht="15" hidden="false" customHeight="tru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customFormat="false" ht="1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customFormat="false" ht="15" hidden="false" customHeight="tru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customFormat="false" ht="15" hidden="false" customHeight="tru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customFormat="false" ht="15" hidden="false" customHeight="tru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customFormat="false" ht="15" hidden="false" customHeight="tru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customFormat="false" ht="15" hidden="false" customHeight="tru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customFormat="false" ht="15" hidden="false" customHeight="tru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customFormat="false" ht="15" hidden="false" customHeight="tru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customFormat="false" ht="15" hidden="false" customHeight="tru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customFormat="false" ht="15" hidden="false" customHeight="tru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customFormat="false" ht="1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 customFormat="false" ht="1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 customFormat="false" ht="1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 customFormat="false" ht="1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</sheetData>
  <mergeCells count="3">
    <mergeCell ref="A1:AK1"/>
    <mergeCell ref="A2:AK2"/>
    <mergeCell ref="A9:AK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.11"/>
  </cols>
  <sheetData>
    <row r="1" customFormat="false" ht="25.5" hidden="false" customHeight="true" outlineLevel="0" collapsed="false">
      <c r="A1" s="2" t="s">
        <v>375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customFormat="false" ht="24" hidden="false" customHeight="true" outlineLevel="0" collapsed="false">
      <c r="A2" s="3" t="s">
        <v>376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customFormat="false" ht="1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customFormat="false" ht="15" hidden="false" customHeight="true" outlineLevel="0" collapsed="false">
      <c r="A5" s="41" t="s">
        <v>286</v>
      </c>
      <c r="B5" s="41" t="s">
        <v>287</v>
      </c>
      <c r="C5" s="41" t="s">
        <v>288</v>
      </c>
      <c r="D5" s="41" t="s">
        <v>289</v>
      </c>
      <c r="E5" s="41" t="s">
        <v>290</v>
      </c>
      <c r="F5" s="41" t="s">
        <v>291</v>
      </c>
      <c r="G5" s="41" t="s">
        <v>292</v>
      </c>
      <c r="H5" s="41" t="s">
        <v>293</v>
      </c>
      <c r="I5" s="41" t="s">
        <v>294</v>
      </c>
      <c r="J5" s="41" t="s">
        <v>295</v>
      </c>
      <c r="K5" s="41" t="s">
        <v>296</v>
      </c>
      <c r="L5" s="41" t="s">
        <v>297</v>
      </c>
      <c r="M5" s="41" t="s">
        <v>298</v>
      </c>
      <c r="N5" s="41" t="s">
        <v>299</v>
      </c>
      <c r="O5" s="41" t="s">
        <v>300</v>
      </c>
      <c r="P5" s="41" t="s">
        <v>301</v>
      </c>
      <c r="Q5" s="41" t="s">
        <v>302</v>
      </c>
      <c r="R5" s="41" t="s">
        <v>303</v>
      </c>
      <c r="S5" s="41" t="s">
        <v>304</v>
      </c>
      <c r="T5" s="41" t="s">
        <v>305</v>
      </c>
      <c r="U5" s="41" t="s">
        <v>306</v>
      </c>
      <c r="V5" s="41" t="s">
        <v>307</v>
      </c>
      <c r="W5" s="41" t="s">
        <v>308</v>
      </c>
      <c r="X5" s="41" t="s">
        <v>309</v>
      </c>
      <c r="Y5" s="41" t="s">
        <v>310</v>
      </c>
      <c r="Z5" s="41" t="s">
        <v>311</v>
      </c>
      <c r="AA5" s="41" t="s">
        <v>312</v>
      </c>
      <c r="AB5" s="41" t="s">
        <v>313</v>
      </c>
      <c r="AC5" s="41" t="s">
        <v>314</v>
      </c>
      <c r="AD5" s="41" t="s">
        <v>315</v>
      </c>
      <c r="AE5" s="41" t="s">
        <v>316</v>
      </c>
      <c r="AF5" s="41" t="s">
        <v>317</v>
      </c>
      <c r="AG5" s="41" t="s">
        <v>318</v>
      </c>
      <c r="AH5" s="41" t="s">
        <v>319</v>
      </c>
      <c r="AI5" s="41" t="s">
        <v>320</v>
      </c>
      <c r="AJ5" s="41" t="s">
        <v>321</v>
      </c>
      <c r="AK5" s="41" t="s">
        <v>322</v>
      </c>
    </row>
    <row r="6" customFormat="false" ht="15" hidden="false" customHeight="true" outlineLevel="0" collapsed="false">
      <c r="A6" s="41" t="s">
        <v>40</v>
      </c>
      <c r="B6" s="41" t="s">
        <v>45</v>
      </c>
      <c r="C6" s="41" t="s">
        <v>45</v>
      </c>
      <c r="D6" s="41" t="s">
        <v>45</v>
      </c>
      <c r="E6" s="41" t="s">
        <v>45</v>
      </c>
      <c r="F6" s="41" t="s">
        <v>45</v>
      </c>
      <c r="G6" s="41" t="s">
        <v>45</v>
      </c>
      <c r="H6" s="41" t="s">
        <v>45</v>
      </c>
      <c r="I6" s="41" t="s">
        <v>45</v>
      </c>
      <c r="J6" s="41" t="s">
        <v>45</v>
      </c>
      <c r="K6" s="41" t="s">
        <v>45</v>
      </c>
      <c r="L6" s="41" t="s">
        <v>45</v>
      </c>
      <c r="M6" s="41" t="s">
        <v>45</v>
      </c>
      <c r="N6" s="41" t="s">
        <v>46</v>
      </c>
      <c r="O6" s="41" t="s">
        <v>46</v>
      </c>
      <c r="P6" s="41" t="s">
        <v>46</v>
      </c>
      <c r="Q6" s="41" t="s">
        <v>46</v>
      </c>
      <c r="R6" s="41" t="s">
        <v>46</v>
      </c>
      <c r="S6" s="41" t="s">
        <v>46</v>
      </c>
      <c r="T6" s="41" t="s">
        <v>46</v>
      </c>
      <c r="U6" s="41" t="s">
        <v>46</v>
      </c>
      <c r="V6" s="41" t="s">
        <v>46</v>
      </c>
      <c r="W6" s="41" t="s">
        <v>46</v>
      </c>
      <c r="X6" s="41" t="s">
        <v>46</v>
      </c>
      <c r="Y6" s="41" t="s">
        <v>46</v>
      </c>
      <c r="Z6" s="41" t="s">
        <v>47</v>
      </c>
      <c r="AA6" s="41" t="s">
        <v>47</v>
      </c>
      <c r="AB6" s="41" t="s">
        <v>47</v>
      </c>
      <c r="AC6" s="41" t="s">
        <v>47</v>
      </c>
      <c r="AD6" s="41" t="s">
        <v>47</v>
      </c>
      <c r="AE6" s="41" t="s">
        <v>47</v>
      </c>
      <c r="AF6" s="41" t="s">
        <v>47</v>
      </c>
      <c r="AG6" s="41" t="s">
        <v>47</v>
      </c>
      <c r="AH6" s="41" t="s">
        <v>47</v>
      </c>
      <c r="AI6" s="41" t="s">
        <v>47</v>
      </c>
      <c r="AJ6" s="41" t="s">
        <v>47</v>
      </c>
      <c r="AK6" s="41" t="s">
        <v>47</v>
      </c>
    </row>
    <row r="7" customFormat="false" ht="15" hidden="false" customHeight="true" outlineLevel="0" collapsed="false">
      <c r="A7" s="42" t="s">
        <v>323</v>
      </c>
      <c r="B7" s="42" t="s">
        <v>324</v>
      </c>
      <c r="C7" s="42" t="s">
        <v>324</v>
      </c>
      <c r="D7" s="42" t="s">
        <v>324</v>
      </c>
      <c r="E7" s="42" t="s">
        <v>325</v>
      </c>
      <c r="F7" s="42" t="s">
        <v>325</v>
      </c>
      <c r="G7" s="42" t="s">
        <v>326</v>
      </c>
      <c r="H7" s="42" t="s">
        <v>327</v>
      </c>
      <c r="I7" s="42" t="s">
        <v>327</v>
      </c>
      <c r="J7" s="42" t="s">
        <v>327</v>
      </c>
      <c r="K7" s="42" t="s">
        <v>328</v>
      </c>
      <c r="L7" s="42" t="s">
        <v>328</v>
      </c>
      <c r="M7" s="42" t="s">
        <v>328</v>
      </c>
      <c r="N7" s="42" t="s">
        <v>329</v>
      </c>
      <c r="O7" s="42" t="s">
        <v>329</v>
      </c>
      <c r="P7" s="42" t="s">
        <v>329</v>
      </c>
      <c r="Q7" s="42" t="s">
        <v>329</v>
      </c>
      <c r="R7" s="42" t="s">
        <v>329</v>
      </c>
      <c r="S7" s="42" t="s">
        <v>329</v>
      </c>
      <c r="T7" s="42" t="s">
        <v>329</v>
      </c>
      <c r="U7" s="42" t="s">
        <v>329</v>
      </c>
      <c r="V7" s="42" t="s">
        <v>329</v>
      </c>
      <c r="W7" s="42" t="s">
        <v>329</v>
      </c>
      <c r="X7" s="42" t="s">
        <v>329</v>
      </c>
      <c r="Y7" s="42" t="s">
        <v>329</v>
      </c>
      <c r="Z7" s="42" t="s">
        <v>329</v>
      </c>
      <c r="AA7" s="42" t="s">
        <v>329</v>
      </c>
      <c r="AB7" s="42" t="s">
        <v>329</v>
      </c>
      <c r="AC7" s="42" t="s">
        <v>329</v>
      </c>
      <c r="AD7" s="42" t="s">
        <v>329</v>
      </c>
      <c r="AE7" s="42" t="s">
        <v>329</v>
      </c>
      <c r="AF7" s="42" t="s">
        <v>329</v>
      </c>
      <c r="AG7" s="42" t="s">
        <v>329</v>
      </c>
      <c r="AH7" s="42" t="s">
        <v>329</v>
      </c>
      <c r="AI7" s="42" t="s">
        <v>329</v>
      </c>
      <c r="AJ7" s="42" t="s">
        <v>329</v>
      </c>
      <c r="AK7" s="42" t="s">
        <v>329</v>
      </c>
    </row>
    <row r="8" customFormat="false" ht="15" hidden="false" customHeight="tru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customFormat="false" ht="17.25" hidden="false" customHeight="true" outlineLevel="0" collapsed="false">
      <c r="A9" s="5" t="s">
        <v>377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customFormat="false" ht="15" hidden="false" customHeight="true" outlineLevel="0" collapsed="false">
      <c r="A10" s="4" t="s">
        <v>378</v>
      </c>
      <c r="B10" s="52" t="n">
        <f aca="false">IF(Assumptions!$E$6="Off",0,Assumptions!$C$76*(IF(1&gt;=Assumptions!$C$71,1,0)+IF(1&gt;=Assumptions!$C$72,1,0)+IF(1&gt;=Assumptions!$C$73,1,0)))</f>
        <v>0</v>
      </c>
      <c r="C10" s="52" t="n">
        <f aca="false">IF(Assumptions!$E$6="Off",0,Assumptions!$C$76*(IF(2&gt;=Assumptions!$C$71,1,0)+IF(2&gt;=Assumptions!$C$72,1,0)+IF(2&gt;=Assumptions!$C$73,1,0)))</f>
        <v>0</v>
      </c>
      <c r="D10" s="52" t="n">
        <f aca="false">IF(Assumptions!$E$6="Off",0,Assumptions!$C$76*(IF(3&gt;=Assumptions!$C$71,1,0)+IF(3&gt;=Assumptions!$C$72,1,0)+IF(3&gt;=Assumptions!$C$73,1,0)))</f>
        <v>0</v>
      </c>
      <c r="E10" s="52" t="n">
        <f aca="false">IF(Assumptions!$E$6="Off",0,Assumptions!$C$76*(IF(4&gt;=Assumptions!$C$71,1,0)+IF(4&gt;=Assumptions!$C$72,1,0)+IF(4&gt;=Assumptions!$C$73,1,0)))</f>
        <v>0</v>
      </c>
      <c r="F10" s="52" t="n">
        <f aca="false">IF(Assumptions!$E$6="Off",0,Assumptions!$C$76*(IF(5&gt;=Assumptions!$C$71,1,0)+IF(5&gt;=Assumptions!$C$72,1,0)+IF(5&gt;=Assumptions!$C$73,1,0)))</f>
        <v>0</v>
      </c>
      <c r="G10" s="52" t="n">
        <f aca="false">IF(Assumptions!$E$6="Off",0,Assumptions!$C$76*(IF(6&gt;=Assumptions!$C$71,1,0)+IF(6&gt;=Assumptions!$C$72,1,0)+IF(6&gt;=Assumptions!$C$73,1,0)))</f>
        <v>0</v>
      </c>
      <c r="H10" s="52" t="n">
        <f aca="false">IF(Assumptions!$E$6="Off",0,Assumptions!$C$76*(IF(7&gt;=Assumptions!$C$71,1,0)+IF(7&gt;=Assumptions!$C$72,1,0)+IF(7&gt;=Assumptions!$C$73,1,0)))</f>
        <v>0</v>
      </c>
      <c r="I10" s="52" t="n">
        <f aca="false">IF(Assumptions!$E$6="Off",0,Assumptions!$C$76*(IF(8&gt;=Assumptions!$C$71,1,0)+IF(8&gt;=Assumptions!$C$72,1,0)+IF(8&gt;=Assumptions!$C$73,1,0)))</f>
        <v>0</v>
      </c>
      <c r="J10" s="52" t="n">
        <f aca="false">IF(Assumptions!$E$6="Off",0,Assumptions!$C$76*(IF(9&gt;=Assumptions!$C$71,1,0)+IF(9&gt;=Assumptions!$C$72,1,0)+IF(9&gt;=Assumptions!$C$73,1,0)))</f>
        <v>100</v>
      </c>
      <c r="K10" s="52" t="n">
        <f aca="false">IF(Assumptions!$E$6="Off",0,Assumptions!$C$76*(IF(10&gt;=Assumptions!$C$71,1,0)+IF(10&gt;=Assumptions!$C$72,1,0)+IF(10&gt;=Assumptions!$C$73,1,0)))</f>
        <v>100</v>
      </c>
      <c r="L10" s="52" t="n">
        <f aca="false">IF(Assumptions!$E$6="Off",0,Assumptions!$C$76*(IF(11&gt;=Assumptions!$C$71,1,0)+IF(11&gt;=Assumptions!$C$72,1,0)+IF(11&gt;=Assumptions!$C$73,1,0)))</f>
        <v>100</v>
      </c>
      <c r="M10" s="52" t="n">
        <f aca="false">IF(Assumptions!$E$6="Off",0,Assumptions!$C$76*(IF(12&gt;=Assumptions!$C$71,1,0)+IF(12&gt;=Assumptions!$C$72,1,0)+IF(12&gt;=Assumptions!$C$73,1,0)))</f>
        <v>100</v>
      </c>
      <c r="N10" s="52" t="n">
        <f aca="false">IF(Assumptions!$E$6="Off",0,Assumptions!$C$76*(IF(13&gt;=Assumptions!$C$71,1,0)+IF(13&gt;=Assumptions!$C$72,1,0)+IF(13&gt;=Assumptions!$C$73,1,0)))</f>
        <v>100</v>
      </c>
      <c r="O10" s="52" t="n">
        <f aca="false">IF(Assumptions!$E$6="Off",0,Assumptions!$C$76*(IF(14&gt;=Assumptions!$C$71,1,0)+IF(14&gt;=Assumptions!$C$72,1,0)+IF(14&gt;=Assumptions!$C$73,1,0)))</f>
        <v>100</v>
      </c>
      <c r="P10" s="52" t="n">
        <f aca="false">IF(Assumptions!$E$6="Off",0,Assumptions!$C$76*(IF(15&gt;=Assumptions!$C$71,1,0)+IF(15&gt;=Assumptions!$C$72,1,0)+IF(15&gt;=Assumptions!$C$73,1,0)))</f>
        <v>100</v>
      </c>
      <c r="Q10" s="52" t="n">
        <f aca="false">IF(Assumptions!$E$6="Off",0,Assumptions!$C$76*(IF(16&gt;=Assumptions!$C$71,1,0)+IF(16&gt;=Assumptions!$C$72,1,0)+IF(16&gt;=Assumptions!$C$73,1,0)))</f>
        <v>100</v>
      </c>
      <c r="R10" s="52" t="n">
        <f aca="false">IF(Assumptions!$E$6="Off",0,Assumptions!$C$76*(IF(17&gt;=Assumptions!$C$71,1,0)+IF(17&gt;=Assumptions!$C$72,1,0)+IF(17&gt;=Assumptions!$C$73,1,0)))</f>
        <v>100</v>
      </c>
      <c r="S10" s="52" t="n">
        <f aca="false">IF(Assumptions!$E$6="Off",0,Assumptions!$C$76*(IF(18&gt;=Assumptions!$C$71,1,0)+IF(18&gt;=Assumptions!$C$72,1,0)+IF(18&gt;=Assumptions!$C$73,1,0)))</f>
        <v>100</v>
      </c>
      <c r="T10" s="52" t="n">
        <f aca="false">IF(Assumptions!$E$6="Off",0,Assumptions!$C$76*(IF(19&gt;=Assumptions!$C$71,1,0)+IF(19&gt;=Assumptions!$C$72,1,0)+IF(19&gt;=Assumptions!$C$73,1,0)))</f>
        <v>100</v>
      </c>
      <c r="U10" s="52" t="n">
        <f aca="false">IF(Assumptions!$E$6="Off",0,Assumptions!$C$76*(IF(20&gt;=Assumptions!$C$71,1,0)+IF(20&gt;=Assumptions!$C$72,1,0)+IF(20&gt;=Assumptions!$C$73,1,0)))</f>
        <v>100</v>
      </c>
      <c r="V10" s="52" t="n">
        <f aca="false">IF(Assumptions!$E$6="Off",0,Assumptions!$C$76*(IF(21&gt;=Assumptions!$C$71,1,0)+IF(21&gt;=Assumptions!$C$72,1,0)+IF(21&gt;=Assumptions!$C$73,1,0)))</f>
        <v>200</v>
      </c>
      <c r="W10" s="52" t="n">
        <f aca="false">IF(Assumptions!$E$6="Off",0,Assumptions!$C$76*(IF(22&gt;=Assumptions!$C$71,1,0)+IF(22&gt;=Assumptions!$C$72,1,0)+IF(22&gt;=Assumptions!$C$73,1,0)))</f>
        <v>200</v>
      </c>
      <c r="X10" s="52" t="n">
        <f aca="false">IF(Assumptions!$E$6="Off",0,Assumptions!$C$76*(IF(23&gt;=Assumptions!$C$71,1,0)+IF(23&gt;=Assumptions!$C$72,1,0)+IF(23&gt;=Assumptions!$C$73,1,0)))</f>
        <v>200</v>
      </c>
      <c r="Y10" s="52" t="n">
        <f aca="false">IF(Assumptions!$E$6="Off",0,Assumptions!$C$76*(IF(24&gt;=Assumptions!$C$71,1,0)+IF(24&gt;=Assumptions!$C$72,1,0)+IF(24&gt;=Assumptions!$C$73,1,0)))</f>
        <v>200</v>
      </c>
      <c r="Z10" s="52" t="n">
        <f aca="false">IF(Assumptions!$E$6="Off",0,Assumptions!$C$76*(IF(25&gt;=Assumptions!$C$71,1,0)+IF(25&gt;=Assumptions!$C$72,1,0)+IF(25&gt;=Assumptions!$C$73,1,0)))</f>
        <v>200</v>
      </c>
      <c r="AA10" s="52" t="n">
        <f aca="false">IF(Assumptions!$E$6="Off",0,Assumptions!$C$76*(IF(26&gt;=Assumptions!$C$71,1,0)+IF(26&gt;=Assumptions!$C$72,1,0)+IF(26&gt;=Assumptions!$C$73,1,0)))</f>
        <v>200</v>
      </c>
      <c r="AB10" s="52" t="n">
        <f aca="false">IF(Assumptions!$E$6="Off",0,Assumptions!$C$76*(IF(27&gt;=Assumptions!$C$71,1,0)+IF(27&gt;=Assumptions!$C$72,1,0)+IF(27&gt;=Assumptions!$C$73,1,0)))</f>
        <v>200</v>
      </c>
      <c r="AC10" s="52" t="n">
        <f aca="false">IF(Assumptions!$E$6="Off",0,Assumptions!$C$76*(IF(28&gt;=Assumptions!$C$71,1,0)+IF(28&gt;=Assumptions!$C$72,1,0)+IF(28&gt;=Assumptions!$C$73,1,0)))</f>
        <v>200</v>
      </c>
      <c r="AD10" s="52" t="n">
        <f aca="false">IF(Assumptions!$E$6="Off",0,Assumptions!$C$76*(IF(29&gt;=Assumptions!$C$71,1,0)+IF(29&gt;=Assumptions!$C$72,1,0)+IF(29&gt;=Assumptions!$C$73,1,0)))</f>
        <v>200</v>
      </c>
      <c r="AE10" s="52" t="n">
        <f aca="false">IF(Assumptions!$E$6="Off",0,Assumptions!$C$76*(IF(30&gt;=Assumptions!$C$71,1,0)+IF(30&gt;=Assumptions!$C$72,1,0)+IF(30&gt;=Assumptions!$C$73,1,0)))</f>
        <v>200</v>
      </c>
      <c r="AF10" s="52" t="n">
        <f aca="false">IF(Assumptions!$E$6="Off",0,Assumptions!$C$76*(IF(31&gt;=Assumptions!$C$71,1,0)+IF(31&gt;=Assumptions!$C$72,1,0)+IF(31&gt;=Assumptions!$C$73,1,0)))</f>
        <v>200</v>
      </c>
      <c r="AG10" s="52" t="n">
        <f aca="false">IF(Assumptions!$E$6="Off",0,Assumptions!$C$76*(IF(32&gt;=Assumptions!$C$71,1,0)+IF(32&gt;=Assumptions!$C$72,1,0)+IF(32&gt;=Assumptions!$C$73,1,0)))</f>
        <v>200</v>
      </c>
      <c r="AH10" s="52" t="n">
        <f aca="false">IF(Assumptions!$E$6="Off",0,Assumptions!$C$76*(IF(33&gt;=Assumptions!$C$71,1,0)+IF(33&gt;=Assumptions!$C$72,1,0)+IF(33&gt;=Assumptions!$C$73,1,0)))</f>
        <v>300</v>
      </c>
      <c r="AI10" s="52" t="n">
        <f aca="false">IF(Assumptions!$E$6="Off",0,Assumptions!$C$76*(IF(34&gt;=Assumptions!$C$71,1,0)+IF(34&gt;=Assumptions!$C$72,1,0)+IF(34&gt;=Assumptions!$C$73,1,0)))</f>
        <v>300</v>
      </c>
      <c r="AJ10" s="52" t="n">
        <f aca="false">IF(Assumptions!$E$6="Off",0,Assumptions!$C$76*(IF(35&gt;=Assumptions!$C$71,1,0)+IF(35&gt;=Assumptions!$C$72,1,0)+IF(35&gt;=Assumptions!$C$73,1,0)))</f>
        <v>300</v>
      </c>
      <c r="AK10" s="52" t="n">
        <f aca="false">IF(Assumptions!$E$6="Off",0,Assumptions!$C$76*(IF(36&gt;=Assumptions!$C$71,1,0)+IF(36&gt;=Assumptions!$C$72,1,0)+IF(36&gt;=Assumptions!$C$73,1,0)))</f>
        <v>300</v>
      </c>
    </row>
    <row r="11" customFormat="false" ht="15" hidden="false" customHeight="true" outlineLevel="0" collapsed="false">
      <c r="A11" s="4" t="s">
        <v>379</v>
      </c>
      <c r="B11" s="44" t="n">
        <f aca="false">B10*Assumptions!$C$40</f>
        <v>0</v>
      </c>
      <c r="C11" s="44" t="n">
        <f aca="false">C10*Assumptions!$C$40</f>
        <v>0</v>
      </c>
      <c r="D11" s="44" t="n">
        <f aca="false">D10*Assumptions!$C$40</f>
        <v>0</v>
      </c>
      <c r="E11" s="44" t="n">
        <f aca="false">E10*Assumptions!$C$40</f>
        <v>0</v>
      </c>
      <c r="F11" s="44" t="n">
        <f aca="false">F10*Assumptions!$C$40</f>
        <v>0</v>
      </c>
      <c r="G11" s="44" t="n">
        <f aca="false">G10*Assumptions!$C$40</f>
        <v>0</v>
      </c>
      <c r="H11" s="44" t="n">
        <f aca="false">H10*Assumptions!$C$40</f>
        <v>0</v>
      </c>
      <c r="I11" s="44" t="n">
        <f aca="false">I10*Assumptions!$C$40</f>
        <v>0</v>
      </c>
      <c r="J11" s="44" t="n">
        <f aca="false">J10*Assumptions!$C$40</f>
        <v>3200</v>
      </c>
      <c r="K11" s="44" t="n">
        <f aca="false">K10*Assumptions!$C$40</f>
        <v>3200</v>
      </c>
      <c r="L11" s="44" t="n">
        <f aca="false">L10*Assumptions!$C$40</f>
        <v>3200</v>
      </c>
      <c r="M11" s="44" t="n">
        <f aca="false">M10*Assumptions!$C$40</f>
        <v>3200</v>
      </c>
      <c r="N11" s="44" t="n">
        <f aca="false">N10*Assumptions!$C$40</f>
        <v>3200</v>
      </c>
      <c r="O11" s="44" t="n">
        <f aca="false">O10*Assumptions!$C$40</f>
        <v>3200</v>
      </c>
      <c r="P11" s="44" t="n">
        <f aca="false">P10*Assumptions!$C$40</f>
        <v>3200</v>
      </c>
      <c r="Q11" s="44" t="n">
        <f aca="false">Q10*Assumptions!$C$40</f>
        <v>3200</v>
      </c>
      <c r="R11" s="44" t="n">
        <f aca="false">R10*Assumptions!$C$40</f>
        <v>3200</v>
      </c>
      <c r="S11" s="44" t="n">
        <f aca="false">S10*Assumptions!$C$40</f>
        <v>3200</v>
      </c>
      <c r="T11" s="44" t="n">
        <f aca="false">T10*Assumptions!$C$40</f>
        <v>3200</v>
      </c>
      <c r="U11" s="44" t="n">
        <f aca="false">U10*Assumptions!$C$40</f>
        <v>3200</v>
      </c>
      <c r="V11" s="44" t="n">
        <f aca="false">V10*Assumptions!$C$40</f>
        <v>6400</v>
      </c>
      <c r="W11" s="44" t="n">
        <f aca="false">W10*Assumptions!$C$40</f>
        <v>6400</v>
      </c>
      <c r="X11" s="44" t="n">
        <f aca="false">X10*Assumptions!$C$40</f>
        <v>6400</v>
      </c>
      <c r="Y11" s="44" t="n">
        <f aca="false">Y10*Assumptions!$C$40</f>
        <v>6400</v>
      </c>
      <c r="Z11" s="44" t="n">
        <f aca="false">Z10*Assumptions!$C$40</f>
        <v>6400</v>
      </c>
      <c r="AA11" s="44" t="n">
        <f aca="false">AA10*Assumptions!$C$40</f>
        <v>6400</v>
      </c>
      <c r="AB11" s="44" t="n">
        <f aca="false">AB10*Assumptions!$C$40</f>
        <v>6400</v>
      </c>
      <c r="AC11" s="44" t="n">
        <f aca="false">AC10*Assumptions!$C$40</f>
        <v>6400</v>
      </c>
      <c r="AD11" s="44" t="n">
        <f aca="false">AD10*Assumptions!$C$40</f>
        <v>6400</v>
      </c>
      <c r="AE11" s="44" t="n">
        <f aca="false">AE10*Assumptions!$C$40</f>
        <v>6400</v>
      </c>
      <c r="AF11" s="44" t="n">
        <f aca="false">AF10*Assumptions!$C$40</f>
        <v>6400</v>
      </c>
      <c r="AG11" s="44" t="n">
        <f aca="false">AG10*Assumptions!$C$40</f>
        <v>6400</v>
      </c>
      <c r="AH11" s="44" t="n">
        <f aca="false">AH10*Assumptions!$C$40</f>
        <v>9600</v>
      </c>
      <c r="AI11" s="44" t="n">
        <f aca="false">AI10*Assumptions!$C$40</f>
        <v>9600</v>
      </c>
      <c r="AJ11" s="44" t="n">
        <f aca="false">AJ10*Assumptions!$C$40</f>
        <v>9600</v>
      </c>
      <c r="AK11" s="44" t="n">
        <f aca="false">AK10*Assumptions!$C$40</f>
        <v>9600</v>
      </c>
    </row>
    <row r="12" customFormat="false" ht="15" hidden="false" customHeight="true" outlineLevel="0" collapsed="false">
      <c r="A12" s="4" t="s">
        <v>380</v>
      </c>
      <c r="B12" s="44" t="n">
        <f aca="false">-B10*Assumptions!$C$41</f>
        <v>-0</v>
      </c>
      <c r="C12" s="44" t="n">
        <f aca="false">-C10*Assumptions!$C$41</f>
        <v>-0</v>
      </c>
      <c r="D12" s="44" t="n">
        <f aca="false">-D10*Assumptions!$C$41</f>
        <v>-0</v>
      </c>
      <c r="E12" s="44" t="n">
        <f aca="false">-E10*Assumptions!$C$41</f>
        <v>-0</v>
      </c>
      <c r="F12" s="44" t="n">
        <f aca="false">-F10*Assumptions!$C$41</f>
        <v>-0</v>
      </c>
      <c r="G12" s="44" t="n">
        <f aca="false">-G10*Assumptions!$C$41</f>
        <v>-0</v>
      </c>
      <c r="H12" s="44" t="n">
        <f aca="false">-H10*Assumptions!$C$41</f>
        <v>-0</v>
      </c>
      <c r="I12" s="44" t="n">
        <f aca="false">-I10*Assumptions!$C$41</f>
        <v>-0</v>
      </c>
      <c r="J12" s="44" t="n">
        <f aca="false">-J10*Assumptions!$C$41</f>
        <v>-1200</v>
      </c>
      <c r="K12" s="44" t="n">
        <f aca="false">-K10*Assumptions!$C$41</f>
        <v>-1200</v>
      </c>
      <c r="L12" s="44" t="n">
        <f aca="false">-L10*Assumptions!$C$41</f>
        <v>-1200</v>
      </c>
      <c r="M12" s="44" t="n">
        <f aca="false">-M10*Assumptions!$C$41</f>
        <v>-1200</v>
      </c>
      <c r="N12" s="44" t="n">
        <f aca="false">-N10*Assumptions!$C$41</f>
        <v>-1200</v>
      </c>
      <c r="O12" s="44" t="n">
        <f aca="false">-O10*Assumptions!$C$41</f>
        <v>-1200</v>
      </c>
      <c r="P12" s="44" t="n">
        <f aca="false">-P10*Assumptions!$C$41</f>
        <v>-1200</v>
      </c>
      <c r="Q12" s="44" t="n">
        <f aca="false">-Q10*Assumptions!$C$41</f>
        <v>-1200</v>
      </c>
      <c r="R12" s="44" t="n">
        <f aca="false">-R10*Assumptions!$C$41</f>
        <v>-1200</v>
      </c>
      <c r="S12" s="44" t="n">
        <f aca="false">-S10*Assumptions!$C$41</f>
        <v>-1200</v>
      </c>
      <c r="T12" s="44" t="n">
        <f aca="false">-T10*Assumptions!$C$41</f>
        <v>-1200</v>
      </c>
      <c r="U12" s="44" t="n">
        <f aca="false">-U10*Assumptions!$C$41</f>
        <v>-1200</v>
      </c>
      <c r="V12" s="44" t="n">
        <f aca="false">-V10*Assumptions!$C$41</f>
        <v>-2400</v>
      </c>
      <c r="W12" s="44" t="n">
        <f aca="false">-W10*Assumptions!$C$41</f>
        <v>-2400</v>
      </c>
      <c r="X12" s="44" t="n">
        <f aca="false">-X10*Assumptions!$C$41</f>
        <v>-2400</v>
      </c>
      <c r="Y12" s="44" t="n">
        <f aca="false">-Y10*Assumptions!$C$41</f>
        <v>-2400</v>
      </c>
      <c r="Z12" s="44" t="n">
        <f aca="false">-Z10*Assumptions!$C$41</f>
        <v>-2400</v>
      </c>
      <c r="AA12" s="44" t="n">
        <f aca="false">-AA10*Assumptions!$C$41</f>
        <v>-2400</v>
      </c>
      <c r="AB12" s="44" t="n">
        <f aca="false">-AB10*Assumptions!$C$41</f>
        <v>-2400</v>
      </c>
      <c r="AC12" s="44" t="n">
        <f aca="false">-AC10*Assumptions!$C$41</f>
        <v>-2400</v>
      </c>
      <c r="AD12" s="44" t="n">
        <f aca="false">-AD10*Assumptions!$C$41</f>
        <v>-2400</v>
      </c>
      <c r="AE12" s="44" t="n">
        <f aca="false">-AE10*Assumptions!$C$41</f>
        <v>-2400</v>
      </c>
      <c r="AF12" s="44" t="n">
        <f aca="false">-AF10*Assumptions!$C$41</f>
        <v>-2400</v>
      </c>
      <c r="AG12" s="44" t="n">
        <f aca="false">-AG10*Assumptions!$C$41</f>
        <v>-2400</v>
      </c>
      <c r="AH12" s="44" t="n">
        <f aca="false">-AH10*Assumptions!$C$41</f>
        <v>-3600</v>
      </c>
      <c r="AI12" s="44" t="n">
        <f aca="false">-AI10*Assumptions!$C$41</f>
        <v>-3600</v>
      </c>
      <c r="AJ12" s="44" t="n">
        <f aca="false">-AJ10*Assumptions!$C$41</f>
        <v>-3600</v>
      </c>
      <c r="AK12" s="44" t="n">
        <f aca="false">-AK10*Assumptions!$C$41</f>
        <v>-3600</v>
      </c>
    </row>
    <row r="13" customFormat="false" ht="15" hidden="false" customHeight="true" outlineLevel="0" collapsed="false">
      <c r="A13" s="16" t="s">
        <v>381</v>
      </c>
      <c r="B13" s="50" t="n">
        <f aca="false">SUM(B11:B12)</f>
        <v>0</v>
      </c>
      <c r="C13" s="50" t="n">
        <f aca="false">SUM(C11:C12)</f>
        <v>0</v>
      </c>
      <c r="D13" s="50" t="n">
        <f aca="false">SUM(D11:D12)</f>
        <v>0</v>
      </c>
      <c r="E13" s="50" t="n">
        <f aca="false">SUM(E11:E12)</f>
        <v>0</v>
      </c>
      <c r="F13" s="50" t="n">
        <f aca="false">SUM(F11:F12)</f>
        <v>0</v>
      </c>
      <c r="G13" s="50" t="n">
        <f aca="false">SUM(G11:G12)</f>
        <v>0</v>
      </c>
      <c r="H13" s="50" t="n">
        <f aca="false">SUM(H11:H12)</f>
        <v>0</v>
      </c>
      <c r="I13" s="50" t="n">
        <f aca="false">SUM(I11:I12)</f>
        <v>0</v>
      </c>
      <c r="J13" s="50" t="n">
        <f aca="false">SUM(J11:J12)</f>
        <v>2000</v>
      </c>
      <c r="K13" s="50" t="n">
        <f aca="false">SUM(K11:K12)</f>
        <v>2000</v>
      </c>
      <c r="L13" s="50" t="n">
        <f aca="false">SUM(L11:L12)</f>
        <v>2000</v>
      </c>
      <c r="M13" s="50" t="n">
        <f aca="false">SUM(M11:M12)</f>
        <v>2000</v>
      </c>
      <c r="N13" s="50" t="n">
        <f aca="false">SUM(N11:N12)</f>
        <v>2000</v>
      </c>
      <c r="O13" s="50" t="n">
        <f aca="false">SUM(O11:O12)</f>
        <v>2000</v>
      </c>
      <c r="P13" s="50" t="n">
        <f aca="false">SUM(P11:P12)</f>
        <v>2000</v>
      </c>
      <c r="Q13" s="50" t="n">
        <f aca="false">SUM(Q11:Q12)</f>
        <v>2000</v>
      </c>
      <c r="R13" s="50" t="n">
        <f aca="false">SUM(R11:R12)</f>
        <v>2000</v>
      </c>
      <c r="S13" s="50" t="n">
        <f aca="false">SUM(S11:S12)</f>
        <v>2000</v>
      </c>
      <c r="T13" s="50" t="n">
        <f aca="false">SUM(T11:T12)</f>
        <v>2000</v>
      </c>
      <c r="U13" s="50" t="n">
        <f aca="false">SUM(U11:U12)</f>
        <v>2000</v>
      </c>
      <c r="V13" s="50" t="n">
        <f aca="false">SUM(V11:V12)</f>
        <v>4000</v>
      </c>
      <c r="W13" s="50" t="n">
        <f aca="false">SUM(W11:W12)</f>
        <v>4000</v>
      </c>
      <c r="X13" s="50" t="n">
        <f aca="false">SUM(X11:X12)</f>
        <v>4000</v>
      </c>
      <c r="Y13" s="50" t="n">
        <f aca="false">SUM(Y11:Y12)</f>
        <v>4000</v>
      </c>
      <c r="Z13" s="50" t="n">
        <f aca="false">SUM(Z11:Z12)</f>
        <v>4000</v>
      </c>
      <c r="AA13" s="50" t="n">
        <f aca="false">SUM(AA11:AA12)</f>
        <v>4000</v>
      </c>
      <c r="AB13" s="50" t="n">
        <f aca="false">SUM(AB11:AB12)</f>
        <v>4000</v>
      </c>
      <c r="AC13" s="50" t="n">
        <f aca="false">SUM(AC11:AC12)</f>
        <v>4000</v>
      </c>
      <c r="AD13" s="50" t="n">
        <f aca="false">SUM(AD11:AD12)</f>
        <v>4000</v>
      </c>
      <c r="AE13" s="50" t="n">
        <f aca="false">SUM(AE11:AE12)</f>
        <v>4000</v>
      </c>
      <c r="AF13" s="50" t="n">
        <f aca="false">SUM(AF11:AF12)</f>
        <v>4000</v>
      </c>
      <c r="AG13" s="50" t="n">
        <f aca="false">SUM(AG11:AG12)</f>
        <v>4000</v>
      </c>
      <c r="AH13" s="50" t="n">
        <f aca="false">SUM(AH11:AH12)</f>
        <v>6000</v>
      </c>
      <c r="AI13" s="50" t="n">
        <f aca="false">SUM(AI11:AI12)</f>
        <v>6000</v>
      </c>
      <c r="AJ13" s="50" t="n">
        <f aca="false">SUM(AJ11:AJ12)</f>
        <v>6000</v>
      </c>
      <c r="AK13" s="50" t="n">
        <f aca="false">SUM(AK11:AK12)</f>
        <v>6000</v>
      </c>
    </row>
    <row r="14" customFormat="false" ht="15" hidden="false" customHeight="true" outlineLevel="0" collapsed="false">
      <c r="A14" s="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</row>
    <row r="15" customFormat="false" ht="15" hidden="false" customHeight="true" outlineLevel="0" collapsed="false">
      <c r="A15" s="4" t="s">
        <v>382</v>
      </c>
      <c r="B15" s="44" t="n">
        <f aca="false">IF(Assumptions!$E$6="Off",0,IF(1&lt;Assumptions!$C$77,0,IF(1&lt;13,Assumptions!$C$78,IF(1&lt;25,Assumptions!$C$79,Assumptions!$C$80))))</f>
        <v>0</v>
      </c>
      <c r="C15" s="44" t="n">
        <f aca="false">IF(Assumptions!$E$6="Off",0,IF(2&lt;Assumptions!$C$77,0,IF(2&lt;13,Assumptions!$C$78,IF(2&lt;25,Assumptions!$C$79,Assumptions!$C$80))))</f>
        <v>0</v>
      </c>
      <c r="D15" s="44" t="n">
        <f aca="false">IF(Assumptions!$E$6="Off",0,IF(3&lt;Assumptions!$C$77,0,IF(3&lt;13,Assumptions!$C$78,IF(3&lt;25,Assumptions!$C$79,Assumptions!$C$80))))</f>
        <v>0</v>
      </c>
      <c r="E15" s="44" t="n">
        <f aca="false">IF(Assumptions!$E$6="Off",0,IF(4&lt;Assumptions!$C$77,0,IF(4&lt;13,Assumptions!$C$78,IF(4&lt;25,Assumptions!$C$79,Assumptions!$C$80))))</f>
        <v>0</v>
      </c>
      <c r="F15" s="44" t="n">
        <f aca="false">IF(Assumptions!$E$6="Off",0,IF(5&lt;Assumptions!$C$77,0,IF(5&lt;13,Assumptions!$C$78,IF(5&lt;25,Assumptions!$C$79,Assumptions!$C$80))))</f>
        <v>0</v>
      </c>
      <c r="G15" s="44" t="n">
        <f aca="false">IF(Assumptions!$E$6="Off",0,IF(6&lt;Assumptions!$C$77,0,IF(6&lt;13,Assumptions!$C$78,IF(6&lt;25,Assumptions!$C$79,Assumptions!$C$80))))</f>
        <v>0</v>
      </c>
      <c r="H15" s="44" t="n">
        <f aca="false">IF(Assumptions!$E$6="Off",0,IF(7&lt;Assumptions!$C$77,0,IF(7&lt;13,Assumptions!$C$78,IF(7&lt;25,Assumptions!$C$79,Assumptions!$C$80))))</f>
        <v>0</v>
      </c>
      <c r="I15" s="44" t="n">
        <f aca="false">IF(Assumptions!$E$6="Off",0,IF(8&lt;Assumptions!$C$77,0,IF(8&lt;13,Assumptions!$C$78,IF(8&lt;25,Assumptions!$C$79,Assumptions!$C$80))))</f>
        <v>0</v>
      </c>
      <c r="J15" s="44" t="n">
        <f aca="false">IF(Assumptions!$E$6="Off",0,IF(9&lt;Assumptions!$C$77,0,IF(9&lt;13,Assumptions!$C$78,IF(9&lt;25,Assumptions!$C$79,Assumptions!$C$80))))</f>
        <v>2500</v>
      </c>
      <c r="K15" s="44" t="n">
        <f aca="false">IF(Assumptions!$E$6="Off",0,IF(10&lt;Assumptions!$C$77,0,IF(10&lt;13,Assumptions!$C$78,IF(10&lt;25,Assumptions!$C$79,Assumptions!$C$80))))</f>
        <v>2500</v>
      </c>
      <c r="L15" s="44" t="n">
        <f aca="false">IF(Assumptions!$E$6="Off",0,IF(11&lt;Assumptions!$C$77,0,IF(11&lt;13,Assumptions!$C$78,IF(11&lt;25,Assumptions!$C$79,Assumptions!$C$80))))</f>
        <v>2500</v>
      </c>
      <c r="M15" s="44" t="n">
        <f aca="false">IF(Assumptions!$E$6="Off",0,IF(12&lt;Assumptions!$C$77,0,IF(12&lt;13,Assumptions!$C$78,IF(12&lt;25,Assumptions!$C$79,Assumptions!$C$80))))</f>
        <v>2500</v>
      </c>
      <c r="N15" s="44" t="n">
        <f aca="false">IF(Assumptions!$E$6="Off",0,IF(13&lt;Assumptions!$C$77,0,IF(13&lt;13,Assumptions!$C$78,IF(13&lt;25,Assumptions!$C$79,Assumptions!$C$80))))</f>
        <v>1666.67</v>
      </c>
      <c r="O15" s="44" t="n">
        <f aca="false">IF(Assumptions!$E$6="Off",0,IF(14&lt;Assumptions!$C$77,0,IF(14&lt;13,Assumptions!$C$78,IF(14&lt;25,Assumptions!$C$79,Assumptions!$C$80))))</f>
        <v>1666.67</v>
      </c>
      <c r="P15" s="44" t="n">
        <f aca="false">IF(Assumptions!$E$6="Off",0,IF(15&lt;Assumptions!$C$77,0,IF(15&lt;13,Assumptions!$C$78,IF(15&lt;25,Assumptions!$C$79,Assumptions!$C$80))))</f>
        <v>1666.67</v>
      </c>
      <c r="Q15" s="44" t="n">
        <f aca="false">IF(Assumptions!$E$6="Off",0,IF(16&lt;Assumptions!$C$77,0,IF(16&lt;13,Assumptions!$C$78,IF(16&lt;25,Assumptions!$C$79,Assumptions!$C$80))))</f>
        <v>1666.67</v>
      </c>
      <c r="R15" s="44" t="n">
        <f aca="false">IF(Assumptions!$E$6="Off",0,IF(17&lt;Assumptions!$C$77,0,IF(17&lt;13,Assumptions!$C$78,IF(17&lt;25,Assumptions!$C$79,Assumptions!$C$80))))</f>
        <v>1666.67</v>
      </c>
      <c r="S15" s="44" t="n">
        <f aca="false">IF(Assumptions!$E$6="Off",0,IF(18&lt;Assumptions!$C$77,0,IF(18&lt;13,Assumptions!$C$78,IF(18&lt;25,Assumptions!$C$79,Assumptions!$C$80))))</f>
        <v>1666.67</v>
      </c>
      <c r="T15" s="44" t="n">
        <f aca="false">IF(Assumptions!$E$6="Off",0,IF(19&lt;Assumptions!$C$77,0,IF(19&lt;13,Assumptions!$C$78,IF(19&lt;25,Assumptions!$C$79,Assumptions!$C$80))))</f>
        <v>1666.67</v>
      </c>
      <c r="U15" s="44" t="n">
        <f aca="false">IF(Assumptions!$E$6="Off",0,IF(20&lt;Assumptions!$C$77,0,IF(20&lt;13,Assumptions!$C$78,IF(20&lt;25,Assumptions!$C$79,Assumptions!$C$80))))</f>
        <v>1666.67</v>
      </c>
      <c r="V15" s="44" t="n">
        <f aca="false">IF(Assumptions!$E$6="Off",0,IF(21&lt;Assumptions!$C$77,0,IF(21&lt;13,Assumptions!$C$78,IF(21&lt;25,Assumptions!$C$79,Assumptions!$C$80))))</f>
        <v>1666.67</v>
      </c>
      <c r="W15" s="44" t="n">
        <f aca="false">IF(Assumptions!$E$6="Off",0,IF(22&lt;Assumptions!$C$77,0,IF(22&lt;13,Assumptions!$C$78,IF(22&lt;25,Assumptions!$C$79,Assumptions!$C$80))))</f>
        <v>1666.67</v>
      </c>
      <c r="X15" s="44" t="n">
        <f aca="false">IF(Assumptions!$E$6="Off",0,IF(23&lt;Assumptions!$C$77,0,IF(23&lt;13,Assumptions!$C$78,IF(23&lt;25,Assumptions!$C$79,Assumptions!$C$80))))</f>
        <v>1666.67</v>
      </c>
      <c r="Y15" s="44" t="n">
        <f aca="false">IF(Assumptions!$E$6="Off",0,IF(24&lt;Assumptions!$C$77,0,IF(24&lt;13,Assumptions!$C$78,IF(24&lt;25,Assumptions!$C$79,Assumptions!$C$80))))</f>
        <v>1666.67</v>
      </c>
      <c r="Z15" s="44" t="n">
        <f aca="false">IF(Assumptions!$E$6="Off",0,IF(25&lt;Assumptions!$C$77,0,IF(25&lt;13,Assumptions!$C$78,IF(25&lt;25,Assumptions!$C$79,Assumptions!$C$80))))</f>
        <v>2500</v>
      </c>
      <c r="AA15" s="44" t="n">
        <f aca="false">IF(Assumptions!$E$6="Off",0,IF(26&lt;Assumptions!$C$77,0,IF(26&lt;13,Assumptions!$C$78,IF(26&lt;25,Assumptions!$C$79,Assumptions!$C$80))))</f>
        <v>2500</v>
      </c>
      <c r="AB15" s="44" t="n">
        <f aca="false">IF(Assumptions!$E$6="Off",0,IF(27&lt;Assumptions!$C$77,0,IF(27&lt;13,Assumptions!$C$78,IF(27&lt;25,Assumptions!$C$79,Assumptions!$C$80))))</f>
        <v>2500</v>
      </c>
      <c r="AC15" s="44" t="n">
        <f aca="false">IF(Assumptions!$E$6="Off",0,IF(28&lt;Assumptions!$C$77,0,IF(28&lt;13,Assumptions!$C$78,IF(28&lt;25,Assumptions!$C$79,Assumptions!$C$80))))</f>
        <v>2500</v>
      </c>
      <c r="AD15" s="44" t="n">
        <f aca="false">IF(Assumptions!$E$6="Off",0,IF(29&lt;Assumptions!$C$77,0,IF(29&lt;13,Assumptions!$C$78,IF(29&lt;25,Assumptions!$C$79,Assumptions!$C$80))))</f>
        <v>2500</v>
      </c>
      <c r="AE15" s="44" t="n">
        <f aca="false">IF(Assumptions!$E$6="Off",0,IF(30&lt;Assumptions!$C$77,0,IF(30&lt;13,Assumptions!$C$78,IF(30&lt;25,Assumptions!$C$79,Assumptions!$C$80))))</f>
        <v>2500</v>
      </c>
      <c r="AF15" s="44" t="n">
        <f aca="false">IF(Assumptions!$E$6="Off",0,IF(31&lt;Assumptions!$C$77,0,IF(31&lt;13,Assumptions!$C$78,IF(31&lt;25,Assumptions!$C$79,Assumptions!$C$80))))</f>
        <v>2500</v>
      </c>
      <c r="AG15" s="44" t="n">
        <f aca="false">IF(Assumptions!$E$6="Off",0,IF(32&lt;Assumptions!$C$77,0,IF(32&lt;13,Assumptions!$C$78,IF(32&lt;25,Assumptions!$C$79,Assumptions!$C$80))))</f>
        <v>2500</v>
      </c>
      <c r="AH15" s="44" t="n">
        <f aca="false">IF(Assumptions!$E$6="Off",0,IF(33&lt;Assumptions!$C$77,0,IF(33&lt;13,Assumptions!$C$78,IF(33&lt;25,Assumptions!$C$79,Assumptions!$C$80))))</f>
        <v>2500</v>
      </c>
      <c r="AI15" s="44" t="n">
        <f aca="false">IF(Assumptions!$E$6="Off",0,IF(34&lt;Assumptions!$C$77,0,IF(34&lt;13,Assumptions!$C$78,IF(34&lt;25,Assumptions!$C$79,Assumptions!$C$80))))</f>
        <v>2500</v>
      </c>
      <c r="AJ15" s="44" t="n">
        <f aca="false">IF(Assumptions!$E$6="Off",0,IF(35&lt;Assumptions!$C$77,0,IF(35&lt;13,Assumptions!$C$78,IF(35&lt;25,Assumptions!$C$79,Assumptions!$C$80))))</f>
        <v>2500</v>
      </c>
      <c r="AK15" s="44" t="n">
        <f aca="false">IF(Assumptions!$E$6="Off",0,IF(36&lt;Assumptions!$C$77,0,IF(36&lt;13,Assumptions!$C$78,IF(36&lt;25,Assumptions!$C$79,Assumptions!$C$80))))</f>
        <v>2500</v>
      </c>
    </row>
    <row r="16" customFormat="false" ht="15" hidden="false" customHeight="true" outlineLevel="0" collapsed="false">
      <c r="A16" s="4" t="s">
        <v>383</v>
      </c>
      <c r="B16" s="44" t="n">
        <f aca="false">-B15*(1-Assumptions!$C$81)</f>
        <v>-0</v>
      </c>
      <c r="C16" s="44" t="n">
        <f aca="false">-C15*(1-Assumptions!$C$81)</f>
        <v>-0</v>
      </c>
      <c r="D16" s="44" t="n">
        <f aca="false">-D15*(1-Assumptions!$C$81)</f>
        <v>-0</v>
      </c>
      <c r="E16" s="44" t="n">
        <f aca="false">-E15*(1-Assumptions!$C$81)</f>
        <v>-0</v>
      </c>
      <c r="F16" s="44" t="n">
        <f aca="false">-F15*(1-Assumptions!$C$81)</f>
        <v>-0</v>
      </c>
      <c r="G16" s="44" t="n">
        <f aca="false">-G15*(1-Assumptions!$C$81)</f>
        <v>-0</v>
      </c>
      <c r="H16" s="44" t="n">
        <f aca="false">-H15*(1-Assumptions!$C$81)</f>
        <v>-0</v>
      </c>
      <c r="I16" s="44" t="n">
        <f aca="false">-I15*(1-Assumptions!$C$81)</f>
        <v>-0</v>
      </c>
      <c r="J16" s="44" t="n">
        <f aca="false">-J15*(1-Assumptions!$C$81)</f>
        <v>-1500</v>
      </c>
      <c r="K16" s="44" t="n">
        <f aca="false">-K15*(1-Assumptions!$C$81)</f>
        <v>-1500</v>
      </c>
      <c r="L16" s="44" t="n">
        <f aca="false">-L15*(1-Assumptions!$C$81)</f>
        <v>-1500</v>
      </c>
      <c r="M16" s="44" t="n">
        <f aca="false">-M15*(1-Assumptions!$C$81)</f>
        <v>-1500</v>
      </c>
      <c r="N16" s="44" t="n">
        <f aca="false">-N15*(1-Assumptions!$C$81)</f>
        <v>-1000.002</v>
      </c>
      <c r="O16" s="44" t="n">
        <f aca="false">-O15*(1-Assumptions!$C$81)</f>
        <v>-1000.002</v>
      </c>
      <c r="P16" s="44" t="n">
        <f aca="false">-P15*(1-Assumptions!$C$81)</f>
        <v>-1000.002</v>
      </c>
      <c r="Q16" s="44" t="n">
        <f aca="false">-Q15*(1-Assumptions!$C$81)</f>
        <v>-1000.002</v>
      </c>
      <c r="R16" s="44" t="n">
        <f aca="false">-R15*(1-Assumptions!$C$81)</f>
        <v>-1000.002</v>
      </c>
      <c r="S16" s="44" t="n">
        <f aca="false">-S15*(1-Assumptions!$C$81)</f>
        <v>-1000.002</v>
      </c>
      <c r="T16" s="44" t="n">
        <f aca="false">-T15*(1-Assumptions!$C$81)</f>
        <v>-1000.002</v>
      </c>
      <c r="U16" s="44" t="n">
        <f aca="false">-U15*(1-Assumptions!$C$81)</f>
        <v>-1000.002</v>
      </c>
      <c r="V16" s="44" t="n">
        <f aca="false">-V15*(1-Assumptions!$C$81)</f>
        <v>-1000.002</v>
      </c>
      <c r="W16" s="44" t="n">
        <f aca="false">-W15*(1-Assumptions!$C$81)</f>
        <v>-1000.002</v>
      </c>
      <c r="X16" s="44" t="n">
        <f aca="false">-X15*(1-Assumptions!$C$81)</f>
        <v>-1000.002</v>
      </c>
      <c r="Y16" s="44" t="n">
        <f aca="false">-Y15*(1-Assumptions!$C$81)</f>
        <v>-1000.002</v>
      </c>
      <c r="Z16" s="44" t="n">
        <f aca="false">-Z15*(1-Assumptions!$C$81)</f>
        <v>-1500</v>
      </c>
      <c r="AA16" s="44" t="n">
        <f aca="false">-AA15*(1-Assumptions!$C$81)</f>
        <v>-1500</v>
      </c>
      <c r="AB16" s="44" t="n">
        <f aca="false">-AB15*(1-Assumptions!$C$81)</f>
        <v>-1500</v>
      </c>
      <c r="AC16" s="44" t="n">
        <f aca="false">-AC15*(1-Assumptions!$C$81)</f>
        <v>-1500</v>
      </c>
      <c r="AD16" s="44" t="n">
        <f aca="false">-AD15*(1-Assumptions!$C$81)</f>
        <v>-1500</v>
      </c>
      <c r="AE16" s="44" t="n">
        <f aca="false">-AE15*(1-Assumptions!$C$81)</f>
        <v>-1500</v>
      </c>
      <c r="AF16" s="44" t="n">
        <f aca="false">-AF15*(1-Assumptions!$C$81)</f>
        <v>-1500</v>
      </c>
      <c r="AG16" s="44" t="n">
        <f aca="false">-AG15*(1-Assumptions!$C$81)</f>
        <v>-1500</v>
      </c>
      <c r="AH16" s="44" t="n">
        <f aca="false">-AH15*(1-Assumptions!$C$81)</f>
        <v>-1500</v>
      </c>
      <c r="AI16" s="44" t="n">
        <f aca="false">-AI15*(1-Assumptions!$C$81)</f>
        <v>-1500</v>
      </c>
      <c r="AJ16" s="44" t="n">
        <f aca="false">-AJ15*(1-Assumptions!$C$81)</f>
        <v>-1500</v>
      </c>
      <c r="AK16" s="44" t="n">
        <f aca="false">-AK15*(1-Assumptions!$C$81)</f>
        <v>-1500</v>
      </c>
    </row>
    <row r="17" customFormat="false" ht="15" hidden="false" customHeight="true" outlineLevel="0" collapsed="false">
      <c r="A17" s="16" t="s">
        <v>384</v>
      </c>
      <c r="B17" s="50" t="n">
        <f aca="false">SUM(B15:B16)</f>
        <v>0</v>
      </c>
      <c r="C17" s="50" t="n">
        <f aca="false">SUM(C15:C16)</f>
        <v>0</v>
      </c>
      <c r="D17" s="50" t="n">
        <f aca="false">SUM(D15:D16)</f>
        <v>0</v>
      </c>
      <c r="E17" s="50" t="n">
        <f aca="false">SUM(E15:E16)</f>
        <v>0</v>
      </c>
      <c r="F17" s="50" t="n">
        <f aca="false">SUM(F15:F16)</f>
        <v>0</v>
      </c>
      <c r="G17" s="50" t="n">
        <f aca="false">SUM(G15:G16)</f>
        <v>0</v>
      </c>
      <c r="H17" s="50" t="n">
        <f aca="false">SUM(H15:H16)</f>
        <v>0</v>
      </c>
      <c r="I17" s="50" t="n">
        <f aca="false">SUM(I15:I16)</f>
        <v>0</v>
      </c>
      <c r="J17" s="50" t="n">
        <f aca="false">SUM(J15:J16)</f>
        <v>1000</v>
      </c>
      <c r="K17" s="50" t="n">
        <f aca="false">SUM(K15:K16)</f>
        <v>1000</v>
      </c>
      <c r="L17" s="50" t="n">
        <f aca="false">SUM(L15:L16)</f>
        <v>1000</v>
      </c>
      <c r="M17" s="50" t="n">
        <f aca="false">SUM(M15:M16)</f>
        <v>1000</v>
      </c>
      <c r="N17" s="50" t="n">
        <f aca="false">SUM(N15:N16)</f>
        <v>666.668</v>
      </c>
      <c r="O17" s="50" t="n">
        <f aca="false">SUM(O15:O16)</f>
        <v>666.668</v>
      </c>
      <c r="P17" s="50" t="n">
        <f aca="false">SUM(P15:P16)</f>
        <v>666.668</v>
      </c>
      <c r="Q17" s="50" t="n">
        <f aca="false">SUM(Q15:Q16)</f>
        <v>666.668</v>
      </c>
      <c r="R17" s="50" t="n">
        <f aca="false">SUM(R15:R16)</f>
        <v>666.668</v>
      </c>
      <c r="S17" s="50" t="n">
        <f aca="false">SUM(S15:S16)</f>
        <v>666.668</v>
      </c>
      <c r="T17" s="50" t="n">
        <f aca="false">SUM(T15:T16)</f>
        <v>666.668</v>
      </c>
      <c r="U17" s="50" t="n">
        <f aca="false">SUM(U15:U16)</f>
        <v>666.668</v>
      </c>
      <c r="V17" s="50" t="n">
        <f aca="false">SUM(V15:V16)</f>
        <v>666.668</v>
      </c>
      <c r="W17" s="50" t="n">
        <f aca="false">SUM(W15:W16)</f>
        <v>666.668</v>
      </c>
      <c r="X17" s="50" t="n">
        <f aca="false">SUM(X15:X16)</f>
        <v>666.668</v>
      </c>
      <c r="Y17" s="50" t="n">
        <f aca="false">SUM(Y15:Y16)</f>
        <v>666.668</v>
      </c>
      <c r="Z17" s="50" t="n">
        <f aca="false">SUM(Z15:Z16)</f>
        <v>1000</v>
      </c>
      <c r="AA17" s="50" t="n">
        <f aca="false">SUM(AA15:AA16)</f>
        <v>1000</v>
      </c>
      <c r="AB17" s="50" t="n">
        <f aca="false">SUM(AB15:AB16)</f>
        <v>1000</v>
      </c>
      <c r="AC17" s="50" t="n">
        <f aca="false">SUM(AC15:AC16)</f>
        <v>1000</v>
      </c>
      <c r="AD17" s="50" t="n">
        <f aca="false">SUM(AD15:AD16)</f>
        <v>1000</v>
      </c>
      <c r="AE17" s="50" t="n">
        <f aca="false">SUM(AE15:AE16)</f>
        <v>1000</v>
      </c>
      <c r="AF17" s="50" t="n">
        <f aca="false">SUM(AF15:AF16)</f>
        <v>1000</v>
      </c>
      <c r="AG17" s="50" t="n">
        <f aca="false">SUM(AG15:AG16)</f>
        <v>1000</v>
      </c>
      <c r="AH17" s="50" t="n">
        <f aca="false">SUM(AH15:AH16)</f>
        <v>1000</v>
      </c>
      <c r="AI17" s="50" t="n">
        <f aca="false">SUM(AI15:AI16)</f>
        <v>1000</v>
      </c>
      <c r="AJ17" s="50" t="n">
        <f aca="false">SUM(AJ15:AJ16)</f>
        <v>1000</v>
      </c>
      <c r="AK17" s="50" t="n">
        <f aca="false">SUM(AK15:AK16)</f>
        <v>1000</v>
      </c>
    </row>
    <row r="18" customFormat="false" ht="15" hidden="false" customHeight="true" outlineLevel="0" collapsed="false">
      <c r="A18" s="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</row>
    <row r="19" customFormat="false" ht="15" hidden="false" customHeight="true" outlineLevel="0" collapsed="false">
      <c r="A19" s="4" t="s">
        <v>385</v>
      </c>
      <c r="B19" s="44" t="n">
        <f aca="false">IF(Assumptions!$E$6="Off",0,-Assumptions!$C$74/Assumptions!$C$75*(IF(AND(1&gt;=Assumptions!$C$71-Assumptions!$C$75,1&lt;Assumptions!$C$71),1,0)+IF(AND(1&gt;=Assumptions!$C$72-Assumptions!$C$75,1&lt;Assumptions!$C$72),1,0)+IF(AND(1&gt;=Assumptions!$C$73-Assumptions!$C$75,1&lt;Assumptions!$C$73),1,0)))</f>
        <v>-0</v>
      </c>
      <c r="C19" s="44" t="n">
        <f aca="false">IF(Assumptions!$E$6="Off",0,-Assumptions!$C$74/Assumptions!$C$75*(IF(AND(2&gt;=Assumptions!$C$71-Assumptions!$C$75,2&lt;Assumptions!$C$71),1,0)+IF(AND(2&gt;=Assumptions!$C$72-Assumptions!$C$75,2&lt;Assumptions!$C$72),1,0)+IF(AND(2&gt;=Assumptions!$C$73-Assumptions!$C$75,2&lt;Assumptions!$C$73),1,0)))</f>
        <v>-0</v>
      </c>
      <c r="D19" s="44" t="n">
        <f aca="false">IF(Assumptions!$E$6="Off",0,-Assumptions!$C$74/Assumptions!$C$75*(IF(AND(3&gt;=Assumptions!$C$71-Assumptions!$C$75,3&lt;Assumptions!$C$71),1,0)+IF(AND(3&gt;=Assumptions!$C$72-Assumptions!$C$75,3&lt;Assumptions!$C$72),1,0)+IF(AND(3&gt;=Assumptions!$C$73-Assumptions!$C$75,3&lt;Assumptions!$C$73),1,0)))</f>
        <v>-2500</v>
      </c>
      <c r="E19" s="44" t="n">
        <f aca="false">IF(Assumptions!$E$6="Off",0,-Assumptions!$C$74/Assumptions!$C$75*(IF(AND(4&gt;=Assumptions!$C$71-Assumptions!$C$75,4&lt;Assumptions!$C$71),1,0)+IF(AND(4&gt;=Assumptions!$C$72-Assumptions!$C$75,4&lt;Assumptions!$C$72),1,0)+IF(AND(4&gt;=Assumptions!$C$73-Assumptions!$C$75,4&lt;Assumptions!$C$73),1,0)))</f>
        <v>-2500</v>
      </c>
      <c r="F19" s="44" t="n">
        <f aca="false">IF(Assumptions!$E$6="Off",0,-Assumptions!$C$74/Assumptions!$C$75*(IF(AND(5&gt;=Assumptions!$C$71-Assumptions!$C$75,5&lt;Assumptions!$C$71),1,0)+IF(AND(5&gt;=Assumptions!$C$72-Assumptions!$C$75,5&lt;Assumptions!$C$72),1,0)+IF(AND(5&gt;=Assumptions!$C$73-Assumptions!$C$75,5&lt;Assumptions!$C$73),1,0)))</f>
        <v>-2500</v>
      </c>
      <c r="G19" s="44" t="n">
        <f aca="false">IF(Assumptions!$E$6="Off",0,-Assumptions!$C$74/Assumptions!$C$75*(IF(AND(6&gt;=Assumptions!$C$71-Assumptions!$C$75,6&lt;Assumptions!$C$71),1,0)+IF(AND(6&gt;=Assumptions!$C$72-Assumptions!$C$75,6&lt;Assumptions!$C$72),1,0)+IF(AND(6&gt;=Assumptions!$C$73-Assumptions!$C$75,6&lt;Assumptions!$C$73),1,0)))</f>
        <v>-2500</v>
      </c>
      <c r="H19" s="44" t="n">
        <f aca="false">IF(Assumptions!$E$6="Off",0,-Assumptions!$C$74/Assumptions!$C$75*(IF(AND(7&gt;=Assumptions!$C$71-Assumptions!$C$75,7&lt;Assumptions!$C$71),1,0)+IF(AND(7&gt;=Assumptions!$C$72-Assumptions!$C$75,7&lt;Assumptions!$C$72),1,0)+IF(AND(7&gt;=Assumptions!$C$73-Assumptions!$C$75,7&lt;Assumptions!$C$73),1,0)))</f>
        <v>-2500</v>
      </c>
      <c r="I19" s="44" t="n">
        <f aca="false">IF(Assumptions!$E$6="Off",0,-Assumptions!$C$74/Assumptions!$C$75*(IF(AND(8&gt;=Assumptions!$C$71-Assumptions!$C$75,8&lt;Assumptions!$C$71),1,0)+IF(AND(8&gt;=Assumptions!$C$72-Assumptions!$C$75,8&lt;Assumptions!$C$72),1,0)+IF(AND(8&gt;=Assumptions!$C$73-Assumptions!$C$75,8&lt;Assumptions!$C$73),1,0)))</f>
        <v>-2500</v>
      </c>
      <c r="J19" s="44" t="n">
        <f aca="false">IF(Assumptions!$E$6="Off",0,-Assumptions!$C$74/Assumptions!$C$75*(IF(AND(9&gt;=Assumptions!$C$71-Assumptions!$C$75,9&lt;Assumptions!$C$71),1,0)+IF(AND(9&gt;=Assumptions!$C$72-Assumptions!$C$75,9&lt;Assumptions!$C$72),1,0)+IF(AND(9&gt;=Assumptions!$C$73-Assumptions!$C$75,9&lt;Assumptions!$C$73),1,0)))</f>
        <v>-0</v>
      </c>
      <c r="K19" s="44" t="n">
        <f aca="false">IF(Assumptions!$E$6="Off",0,-Assumptions!$C$74/Assumptions!$C$75*(IF(AND(10&gt;=Assumptions!$C$71-Assumptions!$C$75,10&lt;Assumptions!$C$71),1,0)+IF(AND(10&gt;=Assumptions!$C$72-Assumptions!$C$75,10&lt;Assumptions!$C$72),1,0)+IF(AND(10&gt;=Assumptions!$C$73-Assumptions!$C$75,10&lt;Assumptions!$C$73),1,0)))</f>
        <v>-0</v>
      </c>
      <c r="L19" s="44" t="n">
        <f aca="false">IF(Assumptions!$E$6="Off",0,-Assumptions!$C$74/Assumptions!$C$75*(IF(AND(11&gt;=Assumptions!$C$71-Assumptions!$C$75,11&lt;Assumptions!$C$71),1,0)+IF(AND(11&gt;=Assumptions!$C$72-Assumptions!$C$75,11&lt;Assumptions!$C$72),1,0)+IF(AND(11&gt;=Assumptions!$C$73-Assumptions!$C$75,11&lt;Assumptions!$C$73),1,0)))</f>
        <v>-0</v>
      </c>
      <c r="M19" s="44" t="n">
        <f aca="false">IF(Assumptions!$E$6="Off",0,-Assumptions!$C$74/Assumptions!$C$75*(IF(AND(12&gt;=Assumptions!$C$71-Assumptions!$C$75,12&lt;Assumptions!$C$71),1,0)+IF(AND(12&gt;=Assumptions!$C$72-Assumptions!$C$75,12&lt;Assumptions!$C$72),1,0)+IF(AND(12&gt;=Assumptions!$C$73-Assumptions!$C$75,12&lt;Assumptions!$C$73),1,0)))</f>
        <v>-0</v>
      </c>
      <c r="N19" s="44" t="n">
        <f aca="false">IF(Assumptions!$E$6="Off",0,-Assumptions!$C$74/Assumptions!$C$75*(IF(AND(13&gt;=Assumptions!$C$71-Assumptions!$C$75,13&lt;Assumptions!$C$71),1,0)+IF(AND(13&gt;=Assumptions!$C$72-Assumptions!$C$75,13&lt;Assumptions!$C$72),1,0)+IF(AND(13&gt;=Assumptions!$C$73-Assumptions!$C$75,13&lt;Assumptions!$C$73),1,0)))</f>
        <v>-0</v>
      </c>
      <c r="O19" s="44" t="n">
        <f aca="false">IF(Assumptions!$E$6="Off",0,-Assumptions!$C$74/Assumptions!$C$75*(IF(AND(14&gt;=Assumptions!$C$71-Assumptions!$C$75,14&lt;Assumptions!$C$71),1,0)+IF(AND(14&gt;=Assumptions!$C$72-Assumptions!$C$75,14&lt;Assumptions!$C$72),1,0)+IF(AND(14&gt;=Assumptions!$C$73-Assumptions!$C$75,14&lt;Assumptions!$C$73),1,0)))</f>
        <v>-0</v>
      </c>
      <c r="P19" s="44" t="n">
        <f aca="false">IF(Assumptions!$E$6="Off",0,-Assumptions!$C$74/Assumptions!$C$75*(IF(AND(15&gt;=Assumptions!$C$71-Assumptions!$C$75,15&lt;Assumptions!$C$71),1,0)+IF(AND(15&gt;=Assumptions!$C$72-Assumptions!$C$75,15&lt;Assumptions!$C$72),1,0)+IF(AND(15&gt;=Assumptions!$C$73-Assumptions!$C$75,15&lt;Assumptions!$C$73),1,0)))</f>
        <v>-2500</v>
      </c>
      <c r="Q19" s="44" t="n">
        <f aca="false">IF(Assumptions!$E$6="Off",0,-Assumptions!$C$74/Assumptions!$C$75*(IF(AND(16&gt;=Assumptions!$C$71-Assumptions!$C$75,16&lt;Assumptions!$C$71),1,0)+IF(AND(16&gt;=Assumptions!$C$72-Assumptions!$C$75,16&lt;Assumptions!$C$72),1,0)+IF(AND(16&gt;=Assumptions!$C$73-Assumptions!$C$75,16&lt;Assumptions!$C$73),1,0)))</f>
        <v>-2500</v>
      </c>
      <c r="R19" s="44" t="n">
        <f aca="false">IF(Assumptions!$E$6="Off",0,-Assumptions!$C$74/Assumptions!$C$75*(IF(AND(17&gt;=Assumptions!$C$71-Assumptions!$C$75,17&lt;Assumptions!$C$71),1,0)+IF(AND(17&gt;=Assumptions!$C$72-Assumptions!$C$75,17&lt;Assumptions!$C$72),1,0)+IF(AND(17&gt;=Assumptions!$C$73-Assumptions!$C$75,17&lt;Assumptions!$C$73),1,0)))</f>
        <v>-2500</v>
      </c>
      <c r="S19" s="44" t="n">
        <f aca="false">IF(Assumptions!$E$6="Off",0,-Assumptions!$C$74/Assumptions!$C$75*(IF(AND(18&gt;=Assumptions!$C$71-Assumptions!$C$75,18&lt;Assumptions!$C$71),1,0)+IF(AND(18&gt;=Assumptions!$C$72-Assumptions!$C$75,18&lt;Assumptions!$C$72),1,0)+IF(AND(18&gt;=Assumptions!$C$73-Assumptions!$C$75,18&lt;Assumptions!$C$73),1,0)))</f>
        <v>-2500</v>
      </c>
      <c r="T19" s="44" t="n">
        <f aca="false">IF(Assumptions!$E$6="Off",0,-Assumptions!$C$74/Assumptions!$C$75*(IF(AND(19&gt;=Assumptions!$C$71-Assumptions!$C$75,19&lt;Assumptions!$C$71),1,0)+IF(AND(19&gt;=Assumptions!$C$72-Assumptions!$C$75,19&lt;Assumptions!$C$72),1,0)+IF(AND(19&gt;=Assumptions!$C$73-Assumptions!$C$75,19&lt;Assumptions!$C$73),1,0)))</f>
        <v>-2500</v>
      </c>
      <c r="U19" s="44" t="n">
        <f aca="false">IF(Assumptions!$E$6="Off",0,-Assumptions!$C$74/Assumptions!$C$75*(IF(AND(20&gt;=Assumptions!$C$71-Assumptions!$C$75,20&lt;Assumptions!$C$71),1,0)+IF(AND(20&gt;=Assumptions!$C$72-Assumptions!$C$75,20&lt;Assumptions!$C$72),1,0)+IF(AND(20&gt;=Assumptions!$C$73-Assumptions!$C$75,20&lt;Assumptions!$C$73),1,0)))</f>
        <v>-2500</v>
      </c>
      <c r="V19" s="44" t="n">
        <f aca="false">IF(Assumptions!$E$6="Off",0,-Assumptions!$C$74/Assumptions!$C$75*(IF(AND(21&gt;=Assumptions!$C$71-Assumptions!$C$75,21&lt;Assumptions!$C$71),1,0)+IF(AND(21&gt;=Assumptions!$C$72-Assumptions!$C$75,21&lt;Assumptions!$C$72),1,0)+IF(AND(21&gt;=Assumptions!$C$73-Assumptions!$C$75,21&lt;Assumptions!$C$73),1,0)))</f>
        <v>-0</v>
      </c>
      <c r="W19" s="44" t="n">
        <f aca="false">IF(Assumptions!$E$6="Off",0,-Assumptions!$C$74/Assumptions!$C$75*(IF(AND(22&gt;=Assumptions!$C$71-Assumptions!$C$75,22&lt;Assumptions!$C$71),1,0)+IF(AND(22&gt;=Assumptions!$C$72-Assumptions!$C$75,22&lt;Assumptions!$C$72),1,0)+IF(AND(22&gt;=Assumptions!$C$73-Assumptions!$C$75,22&lt;Assumptions!$C$73),1,0)))</f>
        <v>-0</v>
      </c>
      <c r="X19" s="44" t="n">
        <f aca="false">IF(Assumptions!$E$6="Off",0,-Assumptions!$C$74/Assumptions!$C$75*(IF(AND(23&gt;=Assumptions!$C$71-Assumptions!$C$75,23&lt;Assumptions!$C$71),1,0)+IF(AND(23&gt;=Assumptions!$C$72-Assumptions!$C$75,23&lt;Assumptions!$C$72),1,0)+IF(AND(23&gt;=Assumptions!$C$73-Assumptions!$C$75,23&lt;Assumptions!$C$73),1,0)))</f>
        <v>-0</v>
      </c>
      <c r="Y19" s="44" t="n">
        <f aca="false">IF(Assumptions!$E$6="Off",0,-Assumptions!$C$74/Assumptions!$C$75*(IF(AND(24&gt;=Assumptions!$C$71-Assumptions!$C$75,24&lt;Assumptions!$C$71),1,0)+IF(AND(24&gt;=Assumptions!$C$72-Assumptions!$C$75,24&lt;Assumptions!$C$72),1,0)+IF(AND(24&gt;=Assumptions!$C$73-Assumptions!$C$75,24&lt;Assumptions!$C$73),1,0)))</f>
        <v>-0</v>
      </c>
      <c r="Z19" s="44" t="n">
        <f aca="false">IF(Assumptions!$E$6="Off",0,-Assumptions!$C$74/Assumptions!$C$75*(IF(AND(25&gt;=Assumptions!$C$71-Assumptions!$C$75,25&lt;Assumptions!$C$71),1,0)+IF(AND(25&gt;=Assumptions!$C$72-Assumptions!$C$75,25&lt;Assumptions!$C$72),1,0)+IF(AND(25&gt;=Assumptions!$C$73-Assumptions!$C$75,25&lt;Assumptions!$C$73),1,0)))</f>
        <v>-0</v>
      </c>
      <c r="AA19" s="44" t="n">
        <f aca="false">IF(Assumptions!$E$6="Off",0,-Assumptions!$C$74/Assumptions!$C$75*(IF(AND(26&gt;=Assumptions!$C$71-Assumptions!$C$75,26&lt;Assumptions!$C$71),1,0)+IF(AND(26&gt;=Assumptions!$C$72-Assumptions!$C$75,26&lt;Assumptions!$C$72),1,0)+IF(AND(26&gt;=Assumptions!$C$73-Assumptions!$C$75,26&lt;Assumptions!$C$73),1,0)))</f>
        <v>-0</v>
      </c>
      <c r="AB19" s="44" t="n">
        <f aca="false">IF(Assumptions!$E$6="Off",0,-Assumptions!$C$74/Assumptions!$C$75*(IF(AND(27&gt;=Assumptions!$C$71-Assumptions!$C$75,27&lt;Assumptions!$C$71),1,0)+IF(AND(27&gt;=Assumptions!$C$72-Assumptions!$C$75,27&lt;Assumptions!$C$72),1,0)+IF(AND(27&gt;=Assumptions!$C$73-Assumptions!$C$75,27&lt;Assumptions!$C$73),1,0)))</f>
        <v>-2500</v>
      </c>
      <c r="AC19" s="44" t="n">
        <f aca="false">IF(Assumptions!$E$6="Off",0,-Assumptions!$C$74/Assumptions!$C$75*(IF(AND(28&gt;=Assumptions!$C$71-Assumptions!$C$75,28&lt;Assumptions!$C$71),1,0)+IF(AND(28&gt;=Assumptions!$C$72-Assumptions!$C$75,28&lt;Assumptions!$C$72),1,0)+IF(AND(28&gt;=Assumptions!$C$73-Assumptions!$C$75,28&lt;Assumptions!$C$73),1,0)))</f>
        <v>-2500</v>
      </c>
      <c r="AD19" s="44" t="n">
        <f aca="false">IF(Assumptions!$E$6="Off",0,-Assumptions!$C$74/Assumptions!$C$75*(IF(AND(29&gt;=Assumptions!$C$71-Assumptions!$C$75,29&lt;Assumptions!$C$71),1,0)+IF(AND(29&gt;=Assumptions!$C$72-Assumptions!$C$75,29&lt;Assumptions!$C$72),1,0)+IF(AND(29&gt;=Assumptions!$C$73-Assumptions!$C$75,29&lt;Assumptions!$C$73),1,0)))</f>
        <v>-2500</v>
      </c>
      <c r="AE19" s="44" t="n">
        <f aca="false">IF(Assumptions!$E$6="Off",0,-Assumptions!$C$74/Assumptions!$C$75*(IF(AND(30&gt;=Assumptions!$C$71-Assumptions!$C$75,30&lt;Assumptions!$C$71),1,0)+IF(AND(30&gt;=Assumptions!$C$72-Assumptions!$C$75,30&lt;Assumptions!$C$72),1,0)+IF(AND(30&gt;=Assumptions!$C$73-Assumptions!$C$75,30&lt;Assumptions!$C$73),1,0)))</f>
        <v>-2500</v>
      </c>
      <c r="AF19" s="44" t="n">
        <f aca="false">IF(Assumptions!$E$6="Off",0,-Assumptions!$C$74/Assumptions!$C$75*(IF(AND(31&gt;=Assumptions!$C$71-Assumptions!$C$75,31&lt;Assumptions!$C$71),1,0)+IF(AND(31&gt;=Assumptions!$C$72-Assumptions!$C$75,31&lt;Assumptions!$C$72),1,0)+IF(AND(31&gt;=Assumptions!$C$73-Assumptions!$C$75,31&lt;Assumptions!$C$73),1,0)))</f>
        <v>-2500</v>
      </c>
      <c r="AG19" s="44" t="n">
        <f aca="false">IF(Assumptions!$E$6="Off",0,-Assumptions!$C$74/Assumptions!$C$75*(IF(AND(32&gt;=Assumptions!$C$71-Assumptions!$C$75,32&lt;Assumptions!$C$71),1,0)+IF(AND(32&gt;=Assumptions!$C$72-Assumptions!$C$75,32&lt;Assumptions!$C$72),1,0)+IF(AND(32&gt;=Assumptions!$C$73-Assumptions!$C$75,32&lt;Assumptions!$C$73),1,0)))</f>
        <v>-2500</v>
      </c>
      <c r="AH19" s="44" t="n">
        <f aca="false">IF(Assumptions!$E$6="Off",0,-Assumptions!$C$74/Assumptions!$C$75*(IF(AND(33&gt;=Assumptions!$C$71-Assumptions!$C$75,33&lt;Assumptions!$C$71),1,0)+IF(AND(33&gt;=Assumptions!$C$72-Assumptions!$C$75,33&lt;Assumptions!$C$72),1,0)+IF(AND(33&gt;=Assumptions!$C$73-Assumptions!$C$75,33&lt;Assumptions!$C$73),1,0)))</f>
        <v>-0</v>
      </c>
      <c r="AI19" s="44" t="n">
        <f aca="false">IF(Assumptions!$E$6="Off",0,-Assumptions!$C$74/Assumptions!$C$75*(IF(AND(34&gt;=Assumptions!$C$71-Assumptions!$C$75,34&lt;Assumptions!$C$71),1,0)+IF(AND(34&gt;=Assumptions!$C$72-Assumptions!$C$75,34&lt;Assumptions!$C$72),1,0)+IF(AND(34&gt;=Assumptions!$C$73-Assumptions!$C$75,34&lt;Assumptions!$C$73),1,0)))</f>
        <v>-0</v>
      </c>
      <c r="AJ19" s="44" t="n">
        <f aca="false">IF(Assumptions!$E$6="Off",0,-Assumptions!$C$74/Assumptions!$C$75*(IF(AND(35&gt;=Assumptions!$C$71-Assumptions!$C$75,35&lt;Assumptions!$C$71),1,0)+IF(AND(35&gt;=Assumptions!$C$72-Assumptions!$C$75,35&lt;Assumptions!$C$72),1,0)+IF(AND(35&gt;=Assumptions!$C$73-Assumptions!$C$75,35&lt;Assumptions!$C$73),1,0)))</f>
        <v>-0</v>
      </c>
      <c r="AK19" s="44" t="n">
        <f aca="false">IF(Assumptions!$E$6="Off",0,-Assumptions!$C$74/Assumptions!$C$75*(IF(AND(36&gt;=Assumptions!$C$71-Assumptions!$C$75,36&lt;Assumptions!$C$71),1,0)+IF(AND(36&gt;=Assumptions!$C$72-Assumptions!$C$75,36&lt;Assumptions!$C$72),1,0)+IF(AND(36&gt;=Assumptions!$C$73-Assumptions!$C$75,36&lt;Assumptions!$C$73),1,0)))</f>
        <v>-0</v>
      </c>
    </row>
    <row r="20" customFormat="false" ht="15" hidden="false" customHeight="true" outlineLevel="0" collapsed="false">
      <c r="A20" s="53" t="s">
        <v>386</v>
      </c>
      <c r="B20" s="54" t="n">
        <f aca="false">SUM(B13,B17)</f>
        <v>0</v>
      </c>
      <c r="C20" s="54" t="n">
        <f aca="false">SUM(C13,C17)</f>
        <v>0</v>
      </c>
      <c r="D20" s="54" t="n">
        <f aca="false">SUM(D13,D17)</f>
        <v>0</v>
      </c>
      <c r="E20" s="54" t="n">
        <f aca="false">SUM(E13,E17)</f>
        <v>0</v>
      </c>
      <c r="F20" s="54" t="n">
        <f aca="false">SUM(F13,F17)</f>
        <v>0</v>
      </c>
      <c r="G20" s="54" t="n">
        <f aca="false">SUM(G13,G17)</f>
        <v>0</v>
      </c>
      <c r="H20" s="54" t="n">
        <f aca="false">SUM(H13,H17)</f>
        <v>0</v>
      </c>
      <c r="I20" s="54" t="n">
        <f aca="false">SUM(I13,I17)</f>
        <v>0</v>
      </c>
      <c r="J20" s="54" t="n">
        <f aca="false">SUM(J13,J17)</f>
        <v>3000</v>
      </c>
      <c r="K20" s="54" t="n">
        <f aca="false">SUM(K13,K17)</f>
        <v>3000</v>
      </c>
      <c r="L20" s="54" t="n">
        <f aca="false">SUM(L13,L17)</f>
        <v>3000</v>
      </c>
      <c r="M20" s="54" t="n">
        <f aca="false">SUM(M13,M17)</f>
        <v>3000</v>
      </c>
      <c r="N20" s="54" t="n">
        <f aca="false">SUM(N13,N17)</f>
        <v>2666.668</v>
      </c>
      <c r="O20" s="54" t="n">
        <f aca="false">SUM(O13,O17)</f>
        <v>2666.668</v>
      </c>
      <c r="P20" s="54" t="n">
        <f aca="false">SUM(P13,P17)</f>
        <v>2666.668</v>
      </c>
      <c r="Q20" s="54" t="n">
        <f aca="false">SUM(Q13,Q17)</f>
        <v>2666.668</v>
      </c>
      <c r="R20" s="54" t="n">
        <f aca="false">SUM(R13,R17)</f>
        <v>2666.668</v>
      </c>
      <c r="S20" s="54" t="n">
        <f aca="false">SUM(S13,S17)</f>
        <v>2666.668</v>
      </c>
      <c r="T20" s="54" t="n">
        <f aca="false">SUM(T13,T17)</f>
        <v>2666.668</v>
      </c>
      <c r="U20" s="54" t="n">
        <f aca="false">SUM(U13,U17)</f>
        <v>2666.668</v>
      </c>
      <c r="V20" s="54" t="n">
        <f aca="false">SUM(V13,V17)</f>
        <v>4666.668</v>
      </c>
      <c r="W20" s="54" t="n">
        <f aca="false">SUM(W13,W17)</f>
        <v>4666.668</v>
      </c>
      <c r="X20" s="54" t="n">
        <f aca="false">SUM(X13,X17)</f>
        <v>4666.668</v>
      </c>
      <c r="Y20" s="54" t="n">
        <f aca="false">SUM(Y13,Y17)</f>
        <v>4666.668</v>
      </c>
      <c r="Z20" s="54" t="n">
        <f aca="false">SUM(Z13,Z17)</f>
        <v>5000</v>
      </c>
      <c r="AA20" s="54" t="n">
        <f aca="false">SUM(AA13,AA17)</f>
        <v>5000</v>
      </c>
      <c r="AB20" s="54" t="n">
        <f aca="false">SUM(AB13,AB17)</f>
        <v>5000</v>
      </c>
      <c r="AC20" s="54" t="n">
        <f aca="false">SUM(AC13,AC17)</f>
        <v>5000</v>
      </c>
      <c r="AD20" s="54" t="n">
        <f aca="false">SUM(AD13,AD17)</f>
        <v>5000</v>
      </c>
      <c r="AE20" s="54" t="n">
        <f aca="false">SUM(AE13,AE17)</f>
        <v>5000</v>
      </c>
      <c r="AF20" s="54" t="n">
        <f aca="false">SUM(AF13,AF17)</f>
        <v>5000</v>
      </c>
      <c r="AG20" s="54" t="n">
        <f aca="false">SUM(AG13,AG17)</f>
        <v>5000</v>
      </c>
      <c r="AH20" s="54" t="n">
        <f aca="false">SUM(AH13,AH17)</f>
        <v>7000</v>
      </c>
      <c r="AI20" s="54" t="n">
        <f aca="false">SUM(AI13,AI17)</f>
        <v>7000</v>
      </c>
      <c r="AJ20" s="54" t="n">
        <f aca="false">SUM(AJ13,AJ17)</f>
        <v>7000</v>
      </c>
      <c r="AK20" s="54" t="n">
        <f aca="false">SUM(AK13,AK17)</f>
        <v>7000</v>
      </c>
    </row>
    <row r="21" customFormat="false" ht="1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customFormat="false" ht="1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customFormat="false" ht="15" hidden="false" customHeight="tru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customFormat="false" ht="1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customFormat="false" ht="15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customFormat="false" ht="15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customFormat="false" ht="15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customFormat="false" ht="1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customFormat="false" ht="15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customFormat="false" ht="1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customFormat="false" ht="15" hidden="false" customHeight="tru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customFormat="false" ht="1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customFormat="false" ht="15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customFormat="false" ht="15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customFormat="false" ht="15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customFormat="false" ht="15" hidden="false" customHeight="tru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customFormat="false" ht="1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customFormat="false" ht="15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customFormat="false" ht="15" hidden="false" customHeight="tru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customFormat="false" ht="15" hidden="false" customHeight="tru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customFormat="false" ht="15" hidden="false" customHeight="tru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customFormat="false" ht="15" hidden="false" customHeight="tru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customFormat="false" ht="1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customFormat="false" ht="15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customFormat="false" ht="15" hidden="false" customHeight="tru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customFormat="false" ht="15" hidden="false" customHeight="tru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customFormat="false" ht="1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customFormat="false" ht="15" hidden="false" customHeight="tru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customFormat="false" ht="15" hidden="false" customHeight="tru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customFormat="false" ht="15" hidden="false" customHeight="tru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customFormat="false" ht="15" hidden="false" customHeight="tru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customFormat="false" ht="15" hidden="false" customHeight="tru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customFormat="false" ht="15" hidden="false" customHeight="tru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customFormat="false" ht="15" hidden="false" customHeight="tru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customFormat="false" ht="15" hidden="false" customHeight="tru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customFormat="false" ht="15" hidden="false" customHeight="tru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customFormat="false" ht="1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 customFormat="false" ht="1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 customFormat="false" ht="1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 customFormat="false" ht="1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</sheetData>
  <mergeCells count="3">
    <mergeCell ref="A1:AK1"/>
    <mergeCell ref="A2:AK2"/>
    <mergeCell ref="A9:AK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9.44"/>
    <col collapsed="false" customWidth="true" hidden="false" outlineLevel="0" max="5" min="2" style="1" width="12.78"/>
    <col collapsed="false" customWidth="true" hidden="false" outlineLevel="0" max="6" min="6" style="1" width="28.33"/>
    <col collapsed="false" customWidth="true" hidden="false" outlineLevel="0" max="7" min="7" style="1" width="37.22"/>
  </cols>
  <sheetData>
    <row r="1" customFormat="false" ht="25.5" hidden="false" customHeight="true" outlineLevel="0" collapsed="false">
      <c r="A1" s="2" t="s">
        <v>387</v>
      </c>
      <c r="B1" s="2"/>
      <c r="C1" s="2"/>
      <c r="D1" s="2"/>
      <c r="E1" s="2"/>
      <c r="F1" s="2"/>
      <c r="G1" s="2"/>
    </row>
    <row r="2" customFormat="false" ht="24" hidden="false" customHeight="true" outlineLevel="0" collapsed="false">
      <c r="A2" s="3" t="s">
        <v>388</v>
      </c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</row>
    <row r="4" customFormat="false" ht="17.25" hidden="false" customHeight="true" outlineLevel="0" collapsed="false">
      <c r="A4" s="5" t="s">
        <v>389</v>
      </c>
      <c r="B4" s="5"/>
      <c r="C4" s="5"/>
      <c r="D4" s="5"/>
      <c r="E4" s="5"/>
      <c r="F4" s="5"/>
      <c r="G4" s="5"/>
    </row>
    <row r="5" customFormat="false" ht="15" hidden="false" customHeight="true" outlineLevel="0" collapsed="false">
      <c r="A5" s="7" t="s">
        <v>390</v>
      </c>
      <c r="B5" s="8" t="s">
        <v>391</v>
      </c>
      <c r="C5" s="8" t="s">
        <v>392</v>
      </c>
      <c r="D5" s="8" t="s">
        <v>393</v>
      </c>
      <c r="E5" s="8" t="s">
        <v>394</v>
      </c>
      <c r="F5" s="8" t="s">
        <v>395</v>
      </c>
      <c r="G5" s="9" t="s">
        <v>396</v>
      </c>
    </row>
    <row r="6" customFormat="false" ht="23.25" hidden="false" customHeight="true" outlineLevel="0" collapsed="false">
      <c r="A6" s="25" t="s">
        <v>397</v>
      </c>
      <c r="B6" s="31" t="n">
        <v>1250</v>
      </c>
      <c r="C6" s="31" t="n">
        <v>1250</v>
      </c>
      <c r="D6" s="31" t="n">
        <v>1250</v>
      </c>
      <c r="E6" s="31" t="n">
        <v>1250</v>
      </c>
      <c r="F6" s="25" t="s">
        <v>398</v>
      </c>
      <c r="G6" s="25" t="s">
        <v>399</v>
      </c>
    </row>
    <row r="7" customFormat="false" ht="15" hidden="false" customHeight="true" outlineLevel="0" collapsed="false">
      <c r="A7" s="25" t="s">
        <v>400</v>
      </c>
      <c r="B7" s="31" t="n">
        <v>0</v>
      </c>
      <c r="C7" s="31" t="n">
        <v>2500</v>
      </c>
      <c r="D7" s="31" t="n">
        <v>2500</v>
      </c>
      <c r="E7" s="31" t="n">
        <v>2500</v>
      </c>
      <c r="F7" s="25" t="s">
        <v>401</v>
      </c>
      <c r="G7" s="25" t="s">
        <v>402</v>
      </c>
    </row>
    <row r="8" customFormat="false" ht="15" hidden="false" customHeight="true" outlineLevel="0" collapsed="false">
      <c r="A8" s="25" t="s">
        <v>403</v>
      </c>
      <c r="B8" s="31" t="n">
        <v>6500</v>
      </c>
      <c r="C8" s="31" t="n">
        <v>6500</v>
      </c>
      <c r="D8" s="31" t="n">
        <v>6500</v>
      </c>
      <c r="E8" s="31" t="n">
        <v>6500</v>
      </c>
      <c r="F8" s="25" t="s">
        <v>404</v>
      </c>
      <c r="G8" s="25" t="s">
        <v>405</v>
      </c>
    </row>
    <row r="9" customFormat="false" ht="23.25" hidden="false" customHeight="true" outlineLevel="0" collapsed="false">
      <c r="A9" s="25" t="s">
        <v>406</v>
      </c>
      <c r="B9" s="31" t="n">
        <v>1500</v>
      </c>
      <c r="C9" s="31" t="n">
        <v>1500</v>
      </c>
      <c r="D9" s="31" t="n">
        <v>1500</v>
      </c>
      <c r="E9" s="31" t="n">
        <v>1500</v>
      </c>
      <c r="F9" s="25" t="s">
        <v>407</v>
      </c>
      <c r="G9" s="25" t="s">
        <v>408</v>
      </c>
    </row>
    <row r="10" customFormat="false" ht="15" hidden="false" customHeight="true" outlineLevel="0" collapsed="false">
      <c r="A10" s="25" t="s">
        <v>409</v>
      </c>
      <c r="B10" s="31" t="n">
        <v>750</v>
      </c>
      <c r="C10" s="31" t="n">
        <v>750</v>
      </c>
      <c r="D10" s="31" t="n">
        <v>750</v>
      </c>
      <c r="E10" s="31" t="n">
        <v>750</v>
      </c>
      <c r="F10" s="25" t="s">
        <v>410</v>
      </c>
      <c r="G10" s="25" t="s">
        <v>411</v>
      </c>
    </row>
    <row r="11" customFormat="false" ht="15" hidden="false" customHeight="true" outlineLevel="0" collapsed="false">
      <c r="A11" s="25" t="s">
        <v>412</v>
      </c>
      <c r="B11" s="31" t="n">
        <v>0</v>
      </c>
      <c r="C11" s="31" t="n">
        <v>250</v>
      </c>
      <c r="D11" s="31" t="n">
        <v>250</v>
      </c>
      <c r="E11" s="31" t="n">
        <v>250</v>
      </c>
      <c r="F11" s="25" t="s">
        <v>413</v>
      </c>
      <c r="G11" s="25" t="s">
        <v>414</v>
      </c>
    </row>
    <row r="12" customFormat="false" ht="15" hidden="false" customHeight="true" outlineLevel="0" collapsed="false">
      <c r="A12" s="25" t="s">
        <v>415</v>
      </c>
      <c r="B12" s="31" t="n">
        <v>0</v>
      </c>
      <c r="C12" s="31" t="n">
        <v>250</v>
      </c>
      <c r="D12" s="31" t="n">
        <v>250</v>
      </c>
      <c r="E12" s="31" t="n">
        <v>250</v>
      </c>
      <c r="F12" s="25" t="s">
        <v>416</v>
      </c>
      <c r="G12" s="25" t="s">
        <v>417</v>
      </c>
    </row>
    <row r="13" customFormat="false" ht="23.25" hidden="false" customHeight="true" outlineLevel="0" collapsed="false">
      <c r="A13" s="25" t="s">
        <v>418</v>
      </c>
      <c r="B13" s="31" t="n">
        <v>0</v>
      </c>
      <c r="C13" s="31" t="n">
        <v>0</v>
      </c>
      <c r="D13" s="31" t="n">
        <v>0</v>
      </c>
      <c r="E13" s="31" t="n">
        <v>0</v>
      </c>
      <c r="F13" s="25" t="s">
        <v>419</v>
      </c>
      <c r="G13" s="25" t="s">
        <v>420</v>
      </c>
    </row>
    <row r="14" customFormat="false" ht="24.75" hidden="false" customHeight="true" outlineLevel="0" collapsed="false">
      <c r="A14" s="55" t="s">
        <v>421</v>
      </c>
      <c r="B14" s="56" t="n">
        <v>10000</v>
      </c>
      <c r="C14" s="56" t="n">
        <v>13000</v>
      </c>
      <c r="D14" s="56" t="n">
        <v>13000</v>
      </c>
      <c r="E14" s="56" t="n">
        <v>13000</v>
      </c>
      <c r="F14" s="55"/>
      <c r="G14" s="55"/>
    </row>
    <row r="15" customFormat="false" ht="15" hidden="false" customHeight="true" outlineLevel="0" collapsed="false">
      <c r="A15" s="4"/>
      <c r="B15" s="4"/>
      <c r="C15" s="4"/>
      <c r="D15" s="4"/>
      <c r="E15" s="4"/>
      <c r="F15" s="4"/>
      <c r="G15" s="4"/>
    </row>
    <row r="16" customFormat="false" ht="15" hidden="false" customHeight="true" outlineLevel="0" collapsed="false">
      <c r="A16" s="4"/>
      <c r="B16" s="4"/>
      <c r="C16" s="4"/>
      <c r="D16" s="4"/>
      <c r="E16" s="4"/>
      <c r="F16" s="4"/>
      <c r="G16" s="4"/>
    </row>
    <row r="17" customFormat="false" ht="17.25" hidden="false" customHeight="true" outlineLevel="0" collapsed="false">
      <c r="A17" s="5" t="s">
        <v>422</v>
      </c>
      <c r="B17" s="5"/>
      <c r="C17" s="5"/>
      <c r="D17" s="5"/>
      <c r="E17" s="5"/>
      <c r="F17" s="5"/>
      <c r="G17" s="5"/>
    </row>
    <row r="18" customFormat="false" ht="15" hidden="false" customHeight="true" outlineLevel="0" collapsed="false">
      <c r="A18" s="7" t="s">
        <v>423</v>
      </c>
      <c r="B18" s="8" t="s">
        <v>424</v>
      </c>
      <c r="C18" s="8"/>
      <c r="D18" s="8"/>
      <c r="E18" s="9" t="s">
        <v>425</v>
      </c>
      <c r="F18" s="9"/>
      <c r="G18" s="9"/>
    </row>
    <row r="19" customFormat="false" ht="25.5" hidden="false" customHeight="true" outlineLevel="0" collapsed="false">
      <c r="A19" s="25" t="s">
        <v>426</v>
      </c>
      <c r="B19" s="34" t="s">
        <v>427</v>
      </c>
      <c r="C19" s="34"/>
      <c r="D19" s="34"/>
      <c r="E19" s="34" t="s">
        <v>428</v>
      </c>
      <c r="F19" s="34"/>
      <c r="G19" s="34"/>
    </row>
    <row r="20" customFormat="false" ht="25.5" hidden="false" customHeight="true" outlineLevel="0" collapsed="false">
      <c r="A20" s="25" t="s">
        <v>429</v>
      </c>
      <c r="B20" s="34" t="s">
        <v>430</v>
      </c>
      <c r="C20" s="34"/>
      <c r="D20" s="34"/>
      <c r="E20" s="34" t="s">
        <v>431</v>
      </c>
      <c r="F20" s="34"/>
      <c r="G20" s="34"/>
    </row>
    <row r="21" customFormat="false" ht="25.5" hidden="false" customHeight="true" outlineLevel="0" collapsed="false">
      <c r="A21" s="25" t="s">
        <v>432</v>
      </c>
      <c r="B21" s="34" t="s">
        <v>433</v>
      </c>
      <c r="C21" s="34"/>
      <c r="D21" s="34"/>
      <c r="E21" s="34" t="s">
        <v>434</v>
      </c>
      <c r="F21" s="34"/>
      <c r="G21" s="34"/>
    </row>
    <row r="22" customFormat="false" ht="25.5" hidden="false" customHeight="true" outlineLevel="0" collapsed="false">
      <c r="A22" s="25" t="s">
        <v>435</v>
      </c>
      <c r="B22" s="34" t="s">
        <v>436</v>
      </c>
      <c r="C22" s="34"/>
      <c r="D22" s="34"/>
      <c r="E22" s="34" t="s">
        <v>437</v>
      </c>
      <c r="F22" s="34"/>
      <c r="G22" s="34"/>
    </row>
    <row r="23" customFormat="false" ht="25.5" hidden="false" customHeight="true" outlineLevel="0" collapsed="false">
      <c r="A23" s="25" t="s">
        <v>438</v>
      </c>
      <c r="B23" s="34" t="s">
        <v>439</v>
      </c>
      <c r="C23" s="34"/>
      <c r="D23" s="34"/>
      <c r="E23" s="34" t="s">
        <v>440</v>
      </c>
      <c r="F23" s="34"/>
      <c r="G23" s="34"/>
    </row>
    <row r="24" customFormat="false" ht="15" hidden="false" customHeight="true" outlineLevel="0" collapsed="false">
      <c r="A24" s="4"/>
      <c r="B24" s="4"/>
      <c r="C24" s="4"/>
      <c r="D24" s="4"/>
      <c r="E24" s="4"/>
      <c r="F24" s="4"/>
      <c r="G24" s="4"/>
    </row>
    <row r="25" customFormat="false" ht="15" hidden="false" customHeight="true" outlineLevel="0" collapsed="false">
      <c r="A25" s="4"/>
      <c r="B25" s="4"/>
      <c r="C25" s="4"/>
      <c r="D25" s="4"/>
      <c r="E25" s="4"/>
      <c r="F25" s="4"/>
      <c r="G25" s="4"/>
    </row>
  </sheetData>
  <mergeCells count="16">
    <mergeCell ref="A1:G1"/>
    <mergeCell ref="A2:G2"/>
    <mergeCell ref="A4:G4"/>
    <mergeCell ref="A17:G17"/>
    <mergeCell ref="B18:D18"/>
    <mergeCell ref="E18:G18"/>
    <mergeCell ref="B19:D19"/>
    <mergeCell ref="E19:G19"/>
    <mergeCell ref="B20:D20"/>
    <mergeCell ref="E20:G20"/>
    <mergeCell ref="B21:D21"/>
    <mergeCell ref="E21:G21"/>
    <mergeCell ref="B22:D22"/>
    <mergeCell ref="E22:G22"/>
    <mergeCell ref="B23:D23"/>
    <mergeCell ref="E23:G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.11"/>
  </cols>
  <sheetData>
    <row r="1" customFormat="false" ht="25.5" hidden="false" customHeight="true" outlineLevel="0" collapsed="false">
      <c r="A1" s="2" t="s">
        <v>441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customFormat="false" ht="24" hidden="false" customHeight="true" outlineLevel="0" collapsed="false">
      <c r="A2" s="3" t="s">
        <v>442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customFormat="false" ht="1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customFormat="false" ht="15" hidden="false" customHeight="true" outlineLevel="0" collapsed="false">
      <c r="A5" s="41" t="s">
        <v>286</v>
      </c>
      <c r="B5" s="41" t="s">
        <v>287</v>
      </c>
      <c r="C5" s="41" t="s">
        <v>288</v>
      </c>
      <c r="D5" s="41" t="s">
        <v>289</v>
      </c>
      <c r="E5" s="41" t="s">
        <v>290</v>
      </c>
      <c r="F5" s="41" t="s">
        <v>291</v>
      </c>
      <c r="G5" s="41" t="s">
        <v>292</v>
      </c>
      <c r="H5" s="41" t="s">
        <v>293</v>
      </c>
      <c r="I5" s="41" t="s">
        <v>294</v>
      </c>
      <c r="J5" s="41" t="s">
        <v>295</v>
      </c>
      <c r="K5" s="41" t="s">
        <v>296</v>
      </c>
      <c r="L5" s="41" t="s">
        <v>297</v>
      </c>
      <c r="M5" s="41" t="s">
        <v>298</v>
      </c>
      <c r="N5" s="41" t="s">
        <v>299</v>
      </c>
      <c r="O5" s="41" t="s">
        <v>300</v>
      </c>
      <c r="P5" s="41" t="s">
        <v>301</v>
      </c>
      <c r="Q5" s="41" t="s">
        <v>302</v>
      </c>
      <c r="R5" s="41" t="s">
        <v>303</v>
      </c>
      <c r="S5" s="41" t="s">
        <v>304</v>
      </c>
      <c r="T5" s="41" t="s">
        <v>305</v>
      </c>
      <c r="U5" s="41" t="s">
        <v>306</v>
      </c>
      <c r="V5" s="41" t="s">
        <v>307</v>
      </c>
      <c r="W5" s="41" t="s">
        <v>308</v>
      </c>
      <c r="X5" s="41" t="s">
        <v>309</v>
      </c>
      <c r="Y5" s="41" t="s">
        <v>310</v>
      </c>
      <c r="Z5" s="41" t="s">
        <v>311</v>
      </c>
      <c r="AA5" s="41" t="s">
        <v>312</v>
      </c>
      <c r="AB5" s="41" t="s">
        <v>313</v>
      </c>
      <c r="AC5" s="41" t="s">
        <v>314</v>
      </c>
      <c r="AD5" s="41" t="s">
        <v>315</v>
      </c>
      <c r="AE5" s="41" t="s">
        <v>316</v>
      </c>
      <c r="AF5" s="41" t="s">
        <v>317</v>
      </c>
      <c r="AG5" s="41" t="s">
        <v>318</v>
      </c>
      <c r="AH5" s="41" t="s">
        <v>319</v>
      </c>
      <c r="AI5" s="41" t="s">
        <v>320</v>
      </c>
      <c r="AJ5" s="41" t="s">
        <v>321</v>
      </c>
      <c r="AK5" s="41" t="s">
        <v>322</v>
      </c>
    </row>
    <row r="6" customFormat="false" ht="15" hidden="false" customHeight="true" outlineLevel="0" collapsed="false">
      <c r="A6" s="41" t="s">
        <v>40</v>
      </c>
      <c r="B6" s="41" t="s">
        <v>45</v>
      </c>
      <c r="C6" s="41" t="s">
        <v>45</v>
      </c>
      <c r="D6" s="41" t="s">
        <v>45</v>
      </c>
      <c r="E6" s="41" t="s">
        <v>45</v>
      </c>
      <c r="F6" s="41" t="s">
        <v>45</v>
      </c>
      <c r="G6" s="41" t="s">
        <v>45</v>
      </c>
      <c r="H6" s="41" t="s">
        <v>45</v>
      </c>
      <c r="I6" s="41" t="s">
        <v>45</v>
      </c>
      <c r="J6" s="41" t="s">
        <v>45</v>
      </c>
      <c r="K6" s="41" t="s">
        <v>45</v>
      </c>
      <c r="L6" s="41" t="s">
        <v>45</v>
      </c>
      <c r="M6" s="41" t="s">
        <v>45</v>
      </c>
      <c r="N6" s="41" t="s">
        <v>46</v>
      </c>
      <c r="O6" s="41" t="s">
        <v>46</v>
      </c>
      <c r="P6" s="41" t="s">
        <v>46</v>
      </c>
      <c r="Q6" s="41" t="s">
        <v>46</v>
      </c>
      <c r="R6" s="41" t="s">
        <v>46</v>
      </c>
      <c r="S6" s="41" t="s">
        <v>46</v>
      </c>
      <c r="T6" s="41" t="s">
        <v>46</v>
      </c>
      <c r="U6" s="41" t="s">
        <v>46</v>
      </c>
      <c r="V6" s="41" t="s">
        <v>46</v>
      </c>
      <c r="W6" s="41" t="s">
        <v>46</v>
      </c>
      <c r="X6" s="41" t="s">
        <v>46</v>
      </c>
      <c r="Y6" s="41" t="s">
        <v>46</v>
      </c>
      <c r="Z6" s="41" t="s">
        <v>47</v>
      </c>
      <c r="AA6" s="41" t="s">
        <v>47</v>
      </c>
      <c r="AB6" s="41" t="s">
        <v>47</v>
      </c>
      <c r="AC6" s="41" t="s">
        <v>47</v>
      </c>
      <c r="AD6" s="41" t="s">
        <v>47</v>
      </c>
      <c r="AE6" s="41" t="s">
        <v>47</v>
      </c>
      <c r="AF6" s="41" t="s">
        <v>47</v>
      </c>
      <c r="AG6" s="41" t="s">
        <v>47</v>
      </c>
      <c r="AH6" s="41" t="s">
        <v>47</v>
      </c>
      <c r="AI6" s="41" t="s">
        <v>47</v>
      </c>
      <c r="AJ6" s="41" t="s">
        <v>47</v>
      </c>
      <c r="AK6" s="41" t="s">
        <v>47</v>
      </c>
    </row>
    <row r="7" customFormat="false" ht="15" hidden="false" customHeight="true" outlineLevel="0" collapsed="false">
      <c r="A7" s="42" t="s">
        <v>323</v>
      </c>
      <c r="B7" s="42" t="s">
        <v>324</v>
      </c>
      <c r="C7" s="42" t="s">
        <v>324</v>
      </c>
      <c r="D7" s="42" t="s">
        <v>324</v>
      </c>
      <c r="E7" s="42" t="s">
        <v>325</v>
      </c>
      <c r="F7" s="42" t="s">
        <v>325</v>
      </c>
      <c r="G7" s="42" t="s">
        <v>326</v>
      </c>
      <c r="H7" s="42" t="s">
        <v>327</v>
      </c>
      <c r="I7" s="42" t="s">
        <v>327</v>
      </c>
      <c r="J7" s="42" t="s">
        <v>327</v>
      </c>
      <c r="K7" s="42" t="s">
        <v>328</v>
      </c>
      <c r="L7" s="42" t="s">
        <v>328</v>
      </c>
      <c r="M7" s="42" t="s">
        <v>328</v>
      </c>
      <c r="N7" s="42" t="s">
        <v>329</v>
      </c>
      <c r="O7" s="42" t="s">
        <v>329</v>
      </c>
      <c r="P7" s="42" t="s">
        <v>329</v>
      </c>
      <c r="Q7" s="42" t="s">
        <v>329</v>
      </c>
      <c r="R7" s="42" t="s">
        <v>329</v>
      </c>
      <c r="S7" s="42" t="s">
        <v>329</v>
      </c>
      <c r="T7" s="42" t="s">
        <v>329</v>
      </c>
      <c r="U7" s="42" t="s">
        <v>329</v>
      </c>
      <c r="V7" s="42" t="s">
        <v>329</v>
      </c>
      <c r="W7" s="42" t="s">
        <v>329</v>
      </c>
      <c r="X7" s="42" t="s">
        <v>329</v>
      </c>
      <c r="Y7" s="42" t="s">
        <v>329</v>
      </c>
      <c r="Z7" s="42" t="s">
        <v>329</v>
      </c>
      <c r="AA7" s="42" t="s">
        <v>329</v>
      </c>
      <c r="AB7" s="42" t="s">
        <v>329</v>
      </c>
      <c r="AC7" s="42" t="s">
        <v>329</v>
      </c>
      <c r="AD7" s="42" t="s">
        <v>329</v>
      </c>
      <c r="AE7" s="42" t="s">
        <v>329</v>
      </c>
      <c r="AF7" s="42" t="s">
        <v>329</v>
      </c>
      <c r="AG7" s="42" t="s">
        <v>329</v>
      </c>
      <c r="AH7" s="42" t="s">
        <v>329</v>
      </c>
      <c r="AI7" s="42" t="s">
        <v>329</v>
      </c>
      <c r="AJ7" s="42" t="s">
        <v>329</v>
      </c>
      <c r="AK7" s="42" t="s">
        <v>329</v>
      </c>
    </row>
    <row r="8" customFormat="false" ht="15" hidden="false" customHeight="tru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customFormat="false" ht="17.25" hidden="false" customHeight="true" outlineLevel="0" collapsed="false">
      <c r="A9" s="5" t="s">
        <v>443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customFormat="false" ht="15" hidden="false" customHeight="true" outlineLevel="0" collapsed="false">
      <c r="A10" s="4" t="s">
        <v>152</v>
      </c>
      <c r="B10" s="44" t="n">
        <f aca="false">-Assumptions!$C$45/12</f>
        <v>-1250</v>
      </c>
      <c r="C10" s="44" t="n">
        <f aca="false">-Assumptions!$C$45/12</f>
        <v>-1250</v>
      </c>
      <c r="D10" s="44" t="n">
        <f aca="false">-Assumptions!$C$45/12</f>
        <v>-1250</v>
      </c>
      <c r="E10" s="44" t="n">
        <f aca="false">-Assumptions!$C$45/12</f>
        <v>-1250</v>
      </c>
      <c r="F10" s="44" t="n">
        <f aca="false">-Assumptions!$C$45/12</f>
        <v>-1250</v>
      </c>
      <c r="G10" s="44" t="n">
        <f aca="false">-Assumptions!$C$45/12</f>
        <v>-1250</v>
      </c>
      <c r="H10" s="44" t="n">
        <f aca="false">-Assumptions!$C$45/12</f>
        <v>-1250</v>
      </c>
      <c r="I10" s="44" t="n">
        <f aca="false">-Assumptions!$C$45/12</f>
        <v>-1250</v>
      </c>
      <c r="J10" s="44" t="n">
        <f aca="false">-Assumptions!$C$45/12</f>
        <v>-1250</v>
      </c>
      <c r="K10" s="44" t="n">
        <f aca="false">-Assumptions!$C$45/12</f>
        <v>-1250</v>
      </c>
      <c r="L10" s="44" t="n">
        <f aca="false">-Assumptions!$C$45/12</f>
        <v>-1250</v>
      </c>
      <c r="M10" s="44" t="n">
        <f aca="false">-Assumptions!$C$45/12</f>
        <v>-1250</v>
      </c>
      <c r="N10" s="44" t="n">
        <f aca="false">-Assumptions!$C$45/12</f>
        <v>-1250</v>
      </c>
      <c r="O10" s="44" t="n">
        <f aca="false">-Assumptions!$C$45/12</f>
        <v>-1250</v>
      </c>
      <c r="P10" s="44" t="n">
        <f aca="false">-Assumptions!$C$45/12</f>
        <v>-1250</v>
      </c>
      <c r="Q10" s="44" t="n">
        <f aca="false">-Assumptions!$C$45/12</f>
        <v>-1250</v>
      </c>
      <c r="R10" s="44" t="n">
        <f aca="false">-Assumptions!$C$45/12</f>
        <v>-1250</v>
      </c>
      <c r="S10" s="44" t="n">
        <f aca="false">-Assumptions!$C$45/12</f>
        <v>-1250</v>
      </c>
      <c r="T10" s="44" t="n">
        <f aca="false">-Assumptions!$C$45/12</f>
        <v>-1250</v>
      </c>
      <c r="U10" s="44" t="n">
        <f aca="false">-Assumptions!$C$45/12</f>
        <v>-1250</v>
      </c>
      <c r="V10" s="44" t="n">
        <f aca="false">-Assumptions!$C$45/12</f>
        <v>-1250</v>
      </c>
      <c r="W10" s="44" t="n">
        <f aca="false">-Assumptions!$C$45/12</f>
        <v>-1250</v>
      </c>
      <c r="X10" s="44" t="n">
        <f aca="false">-Assumptions!$C$45/12</f>
        <v>-1250</v>
      </c>
      <c r="Y10" s="44" t="n">
        <f aca="false">-Assumptions!$C$45/12</f>
        <v>-1250</v>
      </c>
      <c r="Z10" s="44" t="n">
        <f aca="false">-Assumptions!$C$45/12</f>
        <v>-1250</v>
      </c>
      <c r="AA10" s="44" t="n">
        <f aca="false">-Assumptions!$C$45/12</f>
        <v>-1250</v>
      </c>
      <c r="AB10" s="44" t="n">
        <f aca="false">-Assumptions!$C$45/12</f>
        <v>-1250</v>
      </c>
      <c r="AC10" s="44" t="n">
        <f aca="false">-Assumptions!$C$45/12</f>
        <v>-1250</v>
      </c>
      <c r="AD10" s="44" t="n">
        <f aca="false">-Assumptions!$C$45/12</f>
        <v>-1250</v>
      </c>
      <c r="AE10" s="44" t="n">
        <f aca="false">-Assumptions!$C$45/12</f>
        <v>-1250</v>
      </c>
      <c r="AF10" s="44" t="n">
        <f aca="false">-Assumptions!$C$45/12</f>
        <v>-1250</v>
      </c>
      <c r="AG10" s="44" t="n">
        <f aca="false">-Assumptions!$C$45/12</f>
        <v>-1250</v>
      </c>
      <c r="AH10" s="44" t="n">
        <f aca="false">-Assumptions!$C$45/12</f>
        <v>-1250</v>
      </c>
      <c r="AI10" s="44" t="n">
        <f aca="false">-Assumptions!$C$45/12</f>
        <v>-1250</v>
      </c>
      <c r="AJ10" s="44" t="n">
        <f aca="false">-Assumptions!$C$45/12</f>
        <v>-1250</v>
      </c>
      <c r="AK10" s="44" t="n">
        <f aca="false">-Assumptions!$C$45/12</f>
        <v>-1250</v>
      </c>
    </row>
    <row r="11" customFormat="false" ht="15" hidden="false" customHeight="true" outlineLevel="0" collapsed="false">
      <c r="A11" s="4" t="s">
        <v>444</v>
      </c>
      <c r="B11" s="44" t="n">
        <f aca="false">-Assumptions!$C$60*IF(1&lt;4,Assumptions!$C$61,IF(1&lt;13,Assumptions!$C$62,Assumptions!$C$63))</f>
        <v>-8750.000000425</v>
      </c>
      <c r="C11" s="44" t="n">
        <f aca="false">-Assumptions!$C$60*IF(2&lt;4,Assumptions!$C$61,IF(2&lt;13,Assumptions!$C$62,Assumptions!$C$63))</f>
        <v>-8750.000000425</v>
      </c>
      <c r="D11" s="44" t="n">
        <f aca="false">-Assumptions!$C$60*IF(3&lt;4,Assumptions!$C$61,IF(3&lt;13,Assumptions!$C$62,Assumptions!$C$63))</f>
        <v>-8750.000000425</v>
      </c>
      <c r="E11" s="44" t="n">
        <f aca="false">-Assumptions!$C$60*IF(4&lt;4,Assumptions!$C$61,IF(4&lt;13,Assumptions!$C$62,Assumptions!$C$63))</f>
        <v>-11750</v>
      </c>
      <c r="F11" s="44" t="n">
        <f aca="false">-Assumptions!$C$60*IF(5&lt;4,Assumptions!$C$61,IF(5&lt;13,Assumptions!$C$62,Assumptions!$C$63))</f>
        <v>-11750</v>
      </c>
      <c r="G11" s="44" t="n">
        <f aca="false">-Assumptions!$C$60*IF(6&lt;4,Assumptions!$C$61,IF(6&lt;13,Assumptions!$C$62,Assumptions!$C$63))</f>
        <v>-11750</v>
      </c>
      <c r="H11" s="44" t="n">
        <f aca="false">-Assumptions!$C$60*IF(7&lt;4,Assumptions!$C$61,IF(7&lt;13,Assumptions!$C$62,Assumptions!$C$63))</f>
        <v>-11750</v>
      </c>
      <c r="I11" s="44" t="n">
        <f aca="false">-Assumptions!$C$60*IF(8&lt;4,Assumptions!$C$61,IF(8&lt;13,Assumptions!$C$62,Assumptions!$C$63))</f>
        <v>-11750</v>
      </c>
      <c r="J11" s="44" t="n">
        <f aca="false">-Assumptions!$C$60*IF(9&lt;4,Assumptions!$C$61,IF(9&lt;13,Assumptions!$C$62,Assumptions!$C$63))</f>
        <v>-11750</v>
      </c>
      <c r="K11" s="44" t="n">
        <f aca="false">-Assumptions!$C$60*IF(10&lt;4,Assumptions!$C$61,IF(10&lt;13,Assumptions!$C$62,Assumptions!$C$63))</f>
        <v>-11750</v>
      </c>
      <c r="L11" s="44" t="n">
        <f aca="false">-Assumptions!$C$60*IF(11&lt;4,Assumptions!$C$61,IF(11&lt;13,Assumptions!$C$62,Assumptions!$C$63))</f>
        <v>-11750</v>
      </c>
      <c r="M11" s="44" t="n">
        <f aca="false">-Assumptions!$C$60*IF(12&lt;4,Assumptions!$C$61,IF(12&lt;13,Assumptions!$C$62,Assumptions!$C$63))</f>
        <v>-11750</v>
      </c>
      <c r="N11" s="44" t="n">
        <f aca="false">-Assumptions!$C$60*IF(13&lt;4,Assumptions!$C$61,IF(13&lt;13,Assumptions!$C$62,Assumptions!$C$63))</f>
        <v>-11750</v>
      </c>
      <c r="O11" s="44" t="n">
        <f aca="false">-Assumptions!$C$60*IF(14&lt;4,Assumptions!$C$61,IF(14&lt;13,Assumptions!$C$62,Assumptions!$C$63))</f>
        <v>-11750</v>
      </c>
      <c r="P11" s="44" t="n">
        <f aca="false">-Assumptions!$C$60*IF(15&lt;4,Assumptions!$C$61,IF(15&lt;13,Assumptions!$C$62,Assumptions!$C$63))</f>
        <v>-11750</v>
      </c>
      <c r="Q11" s="44" t="n">
        <f aca="false">-Assumptions!$C$60*IF(16&lt;4,Assumptions!$C$61,IF(16&lt;13,Assumptions!$C$62,Assumptions!$C$63))</f>
        <v>-11750</v>
      </c>
      <c r="R11" s="44" t="n">
        <f aca="false">-Assumptions!$C$60*IF(17&lt;4,Assumptions!$C$61,IF(17&lt;13,Assumptions!$C$62,Assumptions!$C$63))</f>
        <v>-11750</v>
      </c>
      <c r="S11" s="44" t="n">
        <f aca="false">-Assumptions!$C$60*IF(18&lt;4,Assumptions!$C$61,IF(18&lt;13,Assumptions!$C$62,Assumptions!$C$63))</f>
        <v>-11750</v>
      </c>
      <c r="T11" s="44" t="n">
        <f aca="false">-Assumptions!$C$60*IF(19&lt;4,Assumptions!$C$61,IF(19&lt;13,Assumptions!$C$62,Assumptions!$C$63))</f>
        <v>-11750</v>
      </c>
      <c r="U11" s="44" t="n">
        <f aca="false">-Assumptions!$C$60*IF(20&lt;4,Assumptions!$C$61,IF(20&lt;13,Assumptions!$C$62,Assumptions!$C$63))</f>
        <v>-11750</v>
      </c>
      <c r="V11" s="44" t="n">
        <f aca="false">-Assumptions!$C$60*IF(21&lt;4,Assumptions!$C$61,IF(21&lt;13,Assumptions!$C$62,Assumptions!$C$63))</f>
        <v>-11750</v>
      </c>
      <c r="W11" s="44" t="n">
        <f aca="false">-Assumptions!$C$60*IF(22&lt;4,Assumptions!$C$61,IF(22&lt;13,Assumptions!$C$62,Assumptions!$C$63))</f>
        <v>-11750</v>
      </c>
      <c r="X11" s="44" t="n">
        <f aca="false">-Assumptions!$C$60*IF(23&lt;4,Assumptions!$C$61,IF(23&lt;13,Assumptions!$C$62,Assumptions!$C$63))</f>
        <v>-11750</v>
      </c>
      <c r="Y11" s="44" t="n">
        <f aca="false">-Assumptions!$C$60*IF(24&lt;4,Assumptions!$C$61,IF(24&lt;13,Assumptions!$C$62,Assumptions!$C$63))</f>
        <v>-11750</v>
      </c>
      <c r="Z11" s="44" t="n">
        <f aca="false">-Assumptions!$C$60*IF(25&lt;4,Assumptions!$C$61,IF(25&lt;13,Assumptions!$C$62,Assumptions!$C$63))</f>
        <v>-11750</v>
      </c>
      <c r="AA11" s="44" t="n">
        <f aca="false">-Assumptions!$C$60*IF(26&lt;4,Assumptions!$C$61,IF(26&lt;13,Assumptions!$C$62,Assumptions!$C$63))</f>
        <v>-11750</v>
      </c>
      <c r="AB11" s="44" t="n">
        <f aca="false">-Assumptions!$C$60*IF(27&lt;4,Assumptions!$C$61,IF(27&lt;13,Assumptions!$C$62,Assumptions!$C$63))</f>
        <v>-11750</v>
      </c>
      <c r="AC11" s="44" t="n">
        <f aca="false">-Assumptions!$C$60*IF(28&lt;4,Assumptions!$C$61,IF(28&lt;13,Assumptions!$C$62,Assumptions!$C$63))</f>
        <v>-11750</v>
      </c>
      <c r="AD11" s="44" t="n">
        <f aca="false">-Assumptions!$C$60*IF(29&lt;4,Assumptions!$C$61,IF(29&lt;13,Assumptions!$C$62,Assumptions!$C$63))</f>
        <v>-11750</v>
      </c>
      <c r="AE11" s="44" t="n">
        <f aca="false">-Assumptions!$C$60*IF(30&lt;4,Assumptions!$C$61,IF(30&lt;13,Assumptions!$C$62,Assumptions!$C$63))</f>
        <v>-11750</v>
      </c>
      <c r="AF11" s="44" t="n">
        <f aca="false">-Assumptions!$C$60*IF(31&lt;4,Assumptions!$C$61,IF(31&lt;13,Assumptions!$C$62,Assumptions!$C$63))</f>
        <v>-11750</v>
      </c>
      <c r="AG11" s="44" t="n">
        <f aca="false">-Assumptions!$C$60*IF(32&lt;4,Assumptions!$C$61,IF(32&lt;13,Assumptions!$C$62,Assumptions!$C$63))</f>
        <v>-11750</v>
      </c>
      <c r="AH11" s="44" t="n">
        <f aca="false">-Assumptions!$C$60*IF(33&lt;4,Assumptions!$C$61,IF(33&lt;13,Assumptions!$C$62,Assumptions!$C$63))</f>
        <v>-11750</v>
      </c>
      <c r="AI11" s="44" t="n">
        <f aca="false">-Assumptions!$C$60*IF(34&lt;4,Assumptions!$C$61,IF(34&lt;13,Assumptions!$C$62,Assumptions!$C$63))</f>
        <v>-11750</v>
      </c>
      <c r="AJ11" s="44" t="n">
        <f aca="false">-Assumptions!$C$60*IF(35&lt;4,Assumptions!$C$61,IF(35&lt;13,Assumptions!$C$62,Assumptions!$C$63))</f>
        <v>-11750</v>
      </c>
      <c r="AK11" s="44" t="n">
        <f aca="false">-Assumptions!$C$60*IF(36&lt;4,Assumptions!$C$61,IF(36&lt;13,Assumptions!$C$62,Assumptions!$C$63))</f>
        <v>-11750</v>
      </c>
    </row>
    <row r="12" customFormat="false" ht="15" hidden="false" customHeight="true" outlineLevel="0" collapsed="false">
      <c r="A12" s="4" t="s">
        <v>154</v>
      </c>
      <c r="B12" s="44" t="n">
        <f aca="false">-Assumptions!$C$46/12</f>
        <v>-0</v>
      </c>
      <c r="C12" s="44" t="n">
        <f aca="false">-Assumptions!$C$46/12</f>
        <v>-0</v>
      </c>
      <c r="D12" s="44" t="n">
        <f aca="false">-Assumptions!$C$46/12</f>
        <v>-0</v>
      </c>
      <c r="E12" s="44" t="n">
        <f aca="false">-Assumptions!$C$46/12</f>
        <v>-0</v>
      </c>
      <c r="F12" s="44" t="n">
        <f aca="false">-Assumptions!$C$46/12</f>
        <v>-0</v>
      </c>
      <c r="G12" s="44" t="n">
        <f aca="false">-Assumptions!$C$46/12</f>
        <v>-0</v>
      </c>
      <c r="H12" s="44" t="n">
        <f aca="false">-Assumptions!$C$46/12</f>
        <v>-0</v>
      </c>
      <c r="I12" s="44" t="n">
        <f aca="false">-Assumptions!$C$46/12</f>
        <v>-0</v>
      </c>
      <c r="J12" s="44" t="n">
        <f aca="false">-Assumptions!$C$46/12</f>
        <v>-0</v>
      </c>
      <c r="K12" s="44" t="n">
        <f aca="false">-Assumptions!$C$46/12</f>
        <v>-0</v>
      </c>
      <c r="L12" s="44" t="n">
        <f aca="false">-Assumptions!$C$46/12</f>
        <v>-0</v>
      </c>
      <c r="M12" s="44" t="n">
        <f aca="false">-Assumptions!$C$46/12</f>
        <v>-0</v>
      </c>
      <c r="N12" s="44" t="n">
        <f aca="false">-Assumptions!$C$46/12</f>
        <v>-0</v>
      </c>
      <c r="O12" s="44" t="n">
        <f aca="false">-Assumptions!$C$46/12</f>
        <v>-0</v>
      </c>
      <c r="P12" s="44" t="n">
        <f aca="false">-Assumptions!$C$46/12</f>
        <v>-0</v>
      </c>
      <c r="Q12" s="44" t="n">
        <f aca="false">-Assumptions!$C$46/12</f>
        <v>-0</v>
      </c>
      <c r="R12" s="44" t="n">
        <f aca="false">-Assumptions!$C$46/12</f>
        <v>-0</v>
      </c>
      <c r="S12" s="44" t="n">
        <f aca="false">-Assumptions!$C$46/12</f>
        <v>-0</v>
      </c>
      <c r="T12" s="44" t="n">
        <f aca="false">-Assumptions!$C$46/12</f>
        <v>-0</v>
      </c>
      <c r="U12" s="44" t="n">
        <f aca="false">-Assumptions!$C$46/12</f>
        <v>-0</v>
      </c>
      <c r="V12" s="44" t="n">
        <f aca="false">-Assumptions!$C$46/12</f>
        <v>-0</v>
      </c>
      <c r="W12" s="44" t="n">
        <f aca="false">-Assumptions!$C$46/12</f>
        <v>-0</v>
      </c>
      <c r="X12" s="44" t="n">
        <f aca="false">-Assumptions!$C$46/12</f>
        <v>-0</v>
      </c>
      <c r="Y12" s="44" t="n">
        <f aca="false">-Assumptions!$C$46/12</f>
        <v>-0</v>
      </c>
      <c r="Z12" s="44" t="n">
        <f aca="false">-Assumptions!$C$46/12</f>
        <v>-0</v>
      </c>
      <c r="AA12" s="44" t="n">
        <f aca="false">-Assumptions!$C$46/12</f>
        <v>-0</v>
      </c>
      <c r="AB12" s="44" t="n">
        <f aca="false">-Assumptions!$C$46/12</f>
        <v>-0</v>
      </c>
      <c r="AC12" s="44" t="n">
        <f aca="false">-Assumptions!$C$46/12</f>
        <v>-0</v>
      </c>
      <c r="AD12" s="44" t="n">
        <f aca="false">-Assumptions!$C$46/12</f>
        <v>-0</v>
      </c>
      <c r="AE12" s="44" t="n">
        <f aca="false">-Assumptions!$C$46/12</f>
        <v>-0</v>
      </c>
      <c r="AF12" s="44" t="n">
        <f aca="false">-Assumptions!$C$46/12</f>
        <v>-0</v>
      </c>
      <c r="AG12" s="44" t="n">
        <f aca="false">-Assumptions!$C$46/12</f>
        <v>-0</v>
      </c>
      <c r="AH12" s="44" t="n">
        <f aca="false">-Assumptions!$C$46/12</f>
        <v>-0</v>
      </c>
      <c r="AI12" s="44" t="n">
        <f aca="false">-Assumptions!$C$46/12</f>
        <v>-0</v>
      </c>
      <c r="AJ12" s="44" t="n">
        <f aca="false">-Assumptions!$C$46/12</f>
        <v>-0</v>
      </c>
      <c r="AK12" s="44" t="n">
        <f aca="false">-Assumptions!$C$46/12</f>
        <v>-0</v>
      </c>
    </row>
    <row r="13" customFormat="false" ht="15" hidden="false" customHeight="true" outlineLevel="0" collapsed="false">
      <c r="A13" s="16" t="s">
        <v>445</v>
      </c>
      <c r="B13" s="50" t="n">
        <f aca="false">SUM(B10:B12)</f>
        <v>-10000.000000425</v>
      </c>
      <c r="C13" s="50" t="n">
        <f aca="false">SUM(C10:C12)</f>
        <v>-10000.000000425</v>
      </c>
      <c r="D13" s="50" t="n">
        <f aca="false">SUM(D10:D12)</f>
        <v>-10000.000000425</v>
      </c>
      <c r="E13" s="50" t="n">
        <f aca="false">SUM(E10:E12)</f>
        <v>-13000</v>
      </c>
      <c r="F13" s="50" t="n">
        <f aca="false">SUM(F10:F12)</f>
        <v>-13000</v>
      </c>
      <c r="G13" s="50" t="n">
        <f aca="false">SUM(G10:G12)</f>
        <v>-13000</v>
      </c>
      <c r="H13" s="50" t="n">
        <f aca="false">SUM(H10:H12)</f>
        <v>-13000</v>
      </c>
      <c r="I13" s="50" t="n">
        <f aca="false">SUM(I10:I12)</f>
        <v>-13000</v>
      </c>
      <c r="J13" s="50" t="n">
        <f aca="false">SUM(J10:J12)</f>
        <v>-13000</v>
      </c>
      <c r="K13" s="50" t="n">
        <f aca="false">SUM(K10:K12)</f>
        <v>-13000</v>
      </c>
      <c r="L13" s="50" t="n">
        <f aca="false">SUM(L10:L12)</f>
        <v>-13000</v>
      </c>
      <c r="M13" s="50" t="n">
        <f aca="false">SUM(M10:M12)</f>
        <v>-13000</v>
      </c>
      <c r="N13" s="50" t="n">
        <f aca="false">SUM(N10:N12)</f>
        <v>-13000</v>
      </c>
      <c r="O13" s="50" t="n">
        <f aca="false">SUM(O10:O12)</f>
        <v>-13000</v>
      </c>
      <c r="P13" s="50" t="n">
        <f aca="false">SUM(P10:P12)</f>
        <v>-13000</v>
      </c>
      <c r="Q13" s="50" t="n">
        <f aca="false">SUM(Q10:Q12)</f>
        <v>-13000</v>
      </c>
      <c r="R13" s="50" t="n">
        <f aca="false">SUM(R10:R12)</f>
        <v>-13000</v>
      </c>
      <c r="S13" s="50" t="n">
        <f aca="false">SUM(S10:S12)</f>
        <v>-13000</v>
      </c>
      <c r="T13" s="50" t="n">
        <f aca="false">SUM(T10:T12)</f>
        <v>-13000</v>
      </c>
      <c r="U13" s="50" t="n">
        <f aca="false">SUM(U10:U12)</f>
        <v>-13000</v>
      </c>
      <c r="V13" s="50" t="n">
        <f aca="false">SUM(V10:V12)</f>
        <v>-13000</v>
      </c>
      <c r="W13" s="50" t="n">
        <f aca="false">SUM(W10:W12)</f>
        <v>-13000</v>
      </c>
      <c r="X13" s="50" t="n">
        <f aca="false">SUM(X10:X12)</f>
        <v>-13000</v>
      </c>
      <c r="Y13" s="50" t="n">
        <f aca="false">SUM(Y10:Y12)</f>
        <v>-13000</v>
      </c>
      <c r="Z13" s="50" t="n">
        <f aca="false">SUM(Z10:Z12)</f>
        <v>-13000</v>
      </c>
      <c r="AA13" s="50" t="n">
        <f aca="false">SUM(AA10:AA12)</f>
        <v>-13000</v>
      </c>
      <c r="AB13" s="50" t="n">
        <f aca="false">SUM(AB10:AB12)</f>
        <v>-13000</v>
      </c>
      <c r="AC13" s="50" t="n">
        <f aca="false">SUM(AC10:AC12)</f>
        <v>-13000</v>
      </c>
      <c r="AD13" s="50" t="n">
        <f aca="false">SUM(AD10:AD12)</f>
        <v>-13000</v>
      </c>
      <c r="AE13" s="50" t="n">
        <f aca="false">SUM(AE10:AE12)</f>
        <v>-13000</v>
      </c>
      <c r="AF13" s="50" t="n">
        <f aca="false">SUM(AF10:AF12)</f>
        <v>-13000</v>
      </c>
      <c r="AG13" s="50" t="n">
        <f aca="false">SUM(AG10:AG12)</f>
        <v>-13000</v>
      </c>
      <c r="AH13" s="50" t="n">
        <f aca="false">SUM(AH10:AH12)</f>
        <v>-13000</v>
      </c>
      <c r="AI13" s="50" t="n">
        <f aca="false">SUM(AI10:AI12)</f>
        <v>-13000</v>
      </c>
      <c r="AJ13" s="50" t="n">
        <f aca="false">SUM(AJ10:AJ12)</f>
        <v>-13000</v>
      </c>
      <c r="AK13" s="50" t="n">
        <f aca="false">SUM(AK10:AK12)</f>
        <v>-13000</v>
      </c>
    </row>
    <row r="14" customFormat="false" ht="15" hidden="false" customHeight="true" outlineLevel="0" collapsed="false">
      <c r="A14" s="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</row>
    <row r="15" customFormat="false" ht="15" hidden="false" customHeight="true" outlineLevel="0" collapsed="false">
      <c r="A15" s="4" t="s">
        <v>173</v>
      </c>
      <c r="B15" s="44" t="n">
        <f aca="false">IF(1&lt;=Assumptions!$C$55,-Assumptions!$C$54/Assumptions!$C$55,0)</f>
        <v>-10833.3333333333</v>
      </c>
      <c r="C15" s="44" t="n">
        <f aca="false">IF(2&lt;=Assumptions!$C$55,-Assumptions!$C$54/Assumptions!$C$55,0)</f>
        <v>-10833.3333333333</v>
      </c>
      <c r="D15" s="44" t="n">
        <f aca="false">IF(3&lt;=Assumptions!$C$55,-Assumptions!$C$54/Assumptions!$C$55,0)</f>
        <v>-10833.3333333333</v>
      </c>
      <c r="E15" s="44" t="n">
        <f aca="false">IF(4&lt;=Assumptions!$C$55,-Assumptions!$C$54/Assumptions!$C$55,0)</f>
        <v>-10833.3333333333</v>
      </c>
      <c r="F15" s="44" t="n">
        <f aca="false">IF(5&lt;=Assumptions!$C$55,-Assumptions!$C$54/Assumptions!$C$55,0)</f>
        <v>-10833.3333333333</v>
      </c>
      <c r="G15" s="44" t="n">
        <f aca="false">IF(6&lt;=Assumptions!$C$55,-Assumptions!$C$54/Assumptions!$C$55,0)</f>
        <v>-10833.3333333333</v>
      </c>
      <c r="H15" s="44" t="n">
        <f aca="false">IF(7&lt;=Assumptions!$C$55,-Assumptions!$C$54/Assumptions!$C$55,0)</f>
        <v>0</v>
      </c>
      <c r="I15" s="44" t="n">
        <f aca="false">IF(8&lt;=Assumptions!$C$55,-Assumptions!$C$54/Assumptions!$C$55,0)</f>
        <v>0</v>
      </c>
      <c r="J15" s="44" t="n">
        <f aca="false">IF(9&lt;=Assumptions!$C$55,-Assumptions!$C$54/Assumptions!$C$55,0)</f>
        <v>0</v>
      </c>
      <c r="K15" s="44" t="n">
        <f aca="false">IF(10&lt;=Assumptions!$C$55,-Assumptions!$C$54/Assumptions!$C$55,0)</f>
        <v>0</v>
      </c>
      <c r="L15" s="44" t="n">
        <f aca="false">IF(11&lt;=Assumptions!$C$55,-Assumptions!$C$54/Assumptions!$C$55,0)</f>
        <v>0</v>
      </c>
      <c r="M15" s="44" t="n">
        <f aca="false">IF(12&lt;=Assumptions!$C$55,-Assumptions!$C$54/Assumptions!$C$55,0)</f>
        <v>0</v>
      </c>
      <c r="N15" s="44" t="n">
        <f aca="false">IF(13&lt;=Assumptions!$C$55,-Assumptions!$C$54/Assumptions!$C$55,0)</f>
        <v>0</v>
      </c>
      <c r="O15" s="44" t="n">
        <f aca="false">IF(14&lt;=Assumptions!$C$55,-Assumptions!$C$54/Assumptions!$C$55,0)</f>
        <v>0</v>
      </c>
      <c r="P15" s="44" t="n">
        <f aca="false">IF(15&lt;=Assumptions!$C$55,-Assumptions!$C$54/Assumptions!$C$55,0)</f>
        <v>0</v>
      </c>
      <c r="Q15" s="44" t="n">
        <f aca="false">IF(16&lt;=Assumptions!$C$55,-Assumptions!$C$54/Assumptions!$C$55,0)</f>
        <v>0</v>
      </c>
      <c r="R15" s="44" t="n">
        <f aca="false">IF(17&lt;=Assumptions!$C$55,-Assumptions!$C$54/Assumptions!$C$55,0)</f>
        <v>0</v>
      </c>
      <c r="S15" s="44" t="n">
        <f aca="false">IF(18&lt;=Assumptions!$C$55,-Assumptions!$C$54/Assumptions!$C$55,0)</f>
        <v>0</v>
      </c>
      <c r="T15" s="44" t="n">
        <f aca="false">IF(19&lt;=Assumptions!$C$55,-Assumptions!$C$54/Assumptions!$C$55,0)</f>
        <v>0</v>
      </c>
      <c r="U15" s="44" t="n">
        <f aca="false">IF(20&lt;=Assumptions!$C$55,-Assumptions!$C$54/Assumptions!$C$55,0)</f>
        <v>0</v>
      </c>
      <c r="V15" s="44" t="n">
        <f aca="false">IF(21&lt;=Assumptions!$C$55,-Assumptions!$C$54/Assumptions!$C$55,0)</f>
        <v>0</v>
      </c>
      <c r="W15" s="44" t="n">
        <f aca="false">IF(22&lt;=Assumptions!$C$55,-Assumptions!$C$54/Assumptions!$C$55,0)</f>
        <v>0</v>
      </c>
      <c r="X15" s="44" t="n">
        <f aca="false">IF(23&lt;=Assumptions!$C$55,-Assumptions!$C$54/Assumptions!$C$55,0)</f>
        <v>0</v>
      </c>
      <c r="Y15" s="44" t="n">
        <f aca="false">IF(24&lt;=Assumptions!$C$55,-Assumptions!$C$54/Assumptions!$C$55,0)</f>
        <v>0</v>
      </c>
      <c r="Z15" s="44" t="n">
        <f aca="false">IF(25&lt;=Assumptions!$C$55,-Assumptions!$C$54/Assumptions!$C$55,0)</f>
        <v>0</v>
      </c>
      <c r="AA15" s="44" t="n">
        <f aca="false">IF(26&lt;=Assumptions!$C$55,-Assumptions!$C$54/Assumptions!$C$55,0)</f>
        <v>0</v>
      </c>
      <c r="AB15" s="44" t="n">
        <f aca="false">IF(27&lt;=Assumptions!$C$55,-Assumptions!$C$54/Assumptions!$C$55,0)</f>
        <v>0</v>
      </c>
      <c r="AC15" s="44" t="n">
        <f aca="false">IF(28&lt;=Assumptions!$C$55,-Assumptions!$C$54/Assumptions!$C$55,0)</f>
        <v>0</v>
      </c>
      <c r="AD15" s="44" t="n">
        <f aca="false">IF(29&lt;=Assumptions!$C$55,-Assumptions!$C$54/Assumptions!$C$55,0)</f>
        <v>0</v>
      </c>
      <c r="AE15" s="44" t="n">
        <f aca="false">IF(30&lt;=Assumptions!$C$55,-Assumptions!$C$54/Assumptions!$C$55,0)</f>
        <v>0</v>
      </c>
      <c r="AF15" s="44" t="n">
        <f aca="false">IF(31&lt;=Assumptions!$C$55,-Assumptions!$C$54/Assumptions!$C$55,0)</f>
        <v>0</v>
      </c>
      <c r="AG15" s="44" t="n">
        <f aca="false">IF(32&lt;=Assumptions!$C$55,-Assumptions!$C$54/Assumptions!$C$55,0)</f>
        <v>0</v>
      </c>
      <c r="AH15" s="44" t="n">
        <f aca="false">IF(33&lt;=Assumptions!$C$55,-Assumptions!$C$54/Assumptions!$C$55,0)</f>
        <v>0</v>
      </c>
      <c r="AI15" s="44" t="n">
        <f aca="false">IF(34&lt;=Assumptions!$C$55,-Assumptions!$C$54/Assumptions!$C$55,0)</f>
        <v>0</v>
      </c>
      <c r="AJ15" s="44" t="n">
        <f aca="false">IF(35&lt;=Assumptions!$C$55,-Assumptions!$C$54/Assumptions!$C$55,0)</f>
        <v>0</v>
      </c>
      <c r="AK15" s="44" t="n">
        <f aca="false">IF(36&lt;=Assumptions!$C$55,-Assumptions!$C$54/Assumptions!$C$55,0)</f>
        <v>0</v>
      </c>
    </row>
    <row r="16" customFormat="false" ht="15" hidden="false" customHeight="true" outlineLevel="0" collapsed="false">
      <c r="A16" s="4" t="s">
        <v>178</v>
      </c>
      <c r="B16" s="44" t="n">
        <f aca="false">IF(1&lt;=Assumptions!$C$57,-Assumptions!$C$56/Assumptions!$C$57,0)</f>
        <v>-1666.66666666667</v>
      </c>
      <c r="C16" s="44" t="n">
        <f aca="false">IF(2&lt;=Assumptions!$C$57,-Assumptions!$C$56/Assumptions!$C$57,0)</f>
        <v>-1666.66666666667</v>
      </c>
      <c r="D16" s="44" t="n">
        <f aca="false">IF(3&lt;=Assumptions!$C$57,-Assumptions!$C$56/Assumptions!$C$57,0)</f>
        <v>-1666.66666666667</v>
      </c>
      <c r="E16" s="44" t="n">
        <f aca="false">IF(4&lt;=Assumptions!$C$57,-Assumptions!$C$56/Assumptions!$C$57,0)</f>
        <v>-1666.66666666667</v>
      </c>
      <c r="F16" s="44" t="n">
        <f aca="false">IF(5&lt;=Assumptions!$C$57,-Assumptions!$C$56/Assumptions!$C$57,0)</f>
        <v>-1666.66666666667</v>
      </c>
      <c r="G16" s="44" t="n">
        <f aca="false">IF(6&lt;=Assumptions!$C$57,-Assumptions!$C$56/Assumptions!$C$57,0)</f>
        <v>-1666.66666666667</v>
      </c>
      <c r="H16" s="44" t="n">
        <f aca="false">IF(7&lt;=Assumptions!$C$57,-Assumptions!$C$56/Assumptions!$C$57,0)</f>
        <v>0</v>
      </c>
      <c r="I16" s="44" t="n">
        <f aca="false">IF(8&lt;=Assumptions!$C$57,-Assumptions!$C$56/Assumptions!$C$57,0)</f>
        <v>0</v>
      </c>
      <c r="J16" s="44" t="n">
        <f aca="false">IF(9&lt;=Assumptions!$C$57,-Assumptions!$C$56/Assumptions!$C$57,0)</f>
        <v>0</v>
      </c>
      <c r="K16" s="44" t="n">
        <f aca="false">IF(10&lt;=Assumptions!$C$57,-Assumptions!$C$56/Assumptions!$C$57,0)</f>
        <v>0</v>
      </c>
      <c r="L16" s="44" t="n">
        <f aca="false">IF(11&lt;=Assumptions!$C$57,-Assumptions!$C$56/Assumptions!$C$57,0)</f>
        <v>0</v>
      </c>
      <c r="M16" s="44" t="n">
        <f aca="false">IF(12&lt;=Assumptions!$C$57,-Assumptions!$C$56/Assumptions!$C$57,0)</f>
        <v>0</v>
      </c>
      <c r="N16" s="44" t="n">
        <f aca="false">IF(13&lt;=Assumptions!$C$57,-Assumptions!$C$56/Assumptions!$C$57,0)</f>
        <v>0</v>
      </c>
      <c r="O16" s="44" t="n">
        <f aca="false">IF(14&lt;=Assumptions!$C$57,-Assumptions!$C$56/Assumptions!$C$57,0)</f>
        <v>0</v>
      </c>
      <c r="P16" s="44" t="n">
        <f aca="false">IF(15&lt;=Assumptions!$C$57,-Assumptions!$C$56/Assumptions!$C$57,0)</f>
        <v>0</v>
      </c>
      <c r="Q16" s="44" t="n">
        <f aca="false">IF(16&lt;=Assumptions!$C$57,-Assumptions!$C$56/Assumptions!$C$57,0)</f>
        <v>0</v>
      </c>
      <c r="R16" s="44" t="n">
        <f aca="false">IF(17&lt;=Assumptions!$C$57,-Assumptions!$C$56/Assumptions!$C$57,0)</f>
        <v>0</v>
      </c>
      <c r="S16" s="44" t="n">
        <f aca="false">IF(18&lt;=Assumptions!$C$57,-Assumptions!$C$56/Assumptions!$C$57,0)</f>
        <v>0</v>
      </c>
      <c r="T16" s="44" t="n">
        <f aca="false">IF(19&lt;=Assumptions!$C$57,-Assumptions!$C$56/Assumptions!$C$57,0)</f>
        <v>0</v>
      </c>
      <c r="U16" s="44" t="n">
        <f aca="false">IF(20&lt;=Assumptions!$C$57,-Assumptions!$C$56/Assumptions!$C$57,0)</f>
        <v>0</v>
      </c>
      <c r="V16" s="44" t="n">
        <f aca="false">IF(21&lt;=Assumptions!$C$57,-Assumptions!$C$56/Assumptions!$C$57,0)</f>
        <v>0</v>
      </c>
      <c r="W16" s="44" t="n">
        <f aca="false">IF(22&lt;=Assumptions!$C$57,-Assumptions!$C$56/Assumptions!$C$57,0)</f>
        <v>0</v>
      </c>
      <c r="X16" s="44" t="n">
        <f aca="false">IF(23&lt;=Assumptions!$C$57,-Assumptions!$C$56/Assumptions!$C$57,0)</f>
        <v>0</v>
      </c>
      <c r="Y16" s="44" t="n">
        <f aca="false">IF(24&lt;=Assumptions!$C$57,-Assumptions!$C$56/Assumptions!$C$57,0)</f>
        <v>0</v>
      </c>
      <c r="Z16" s="44" t="n">
        <f aca="false">IF(25&lt;=Assumptions!$C$57,-Assumptions!$C$56/Assumptions!$C$57,0)</f>
        <v>0</v>
      </c>
      <c r="AA16" s="44" t="n">
        <f aca="false">IF(26&lt;=Assumptions!$C$57,-Assumptions!$C$56/Assumptions!$C$57,0)</f>
        <v>0</v>
      </c>
      <c r="AB16" s="44" t="n">
        <f aca="false">IF(27&lt;=Assumptions!$C$57,-Assumptions!$C$56/Assumptions!$C$57,0)</f>
        <v>0</v>
      </c>
      <c r="AC16" s="44" t="n">
        <f aca="false">IF(28&lt;=Assumptions!$C$57,-Assumptions!$C$56/Assumptions!$C$57,0)</f>
        <v>0</v>
      </c>
      <c r="AD16" s="44" t="n">
        <f aca="false">IF(29&lt;=Assumptions!$C$57,-Assumptions!$C$56/Assumptions!$C$57,0)</f>
        <v>0</v>
      </c>
      <c r="AE16" s="44" t="n">
        <f aca="false">IF(30&lt;=Assumptions!$C$57,-Assumptions!$C$56/Assumptions!$C$57,0)</f>
        <v>0</v>
      </c>
      <c r="AF16" s="44" t="n">
        <f aca="false">IF(31&lt;=Assumptions!$C$57,-Assumptions!$C$56/Assumptions!$C$57,0)</f>
        <v>0</v>
      </c>
      <c r="AG16" s="44" t="n">
        <f aca="false">IF(32&lt;=Assumptions!$C$57,-Assumptions!$C$56/Assumptions!$C$57,0)</f>
        <v>0</v>
      </c>
      <c r="AH16" s="44" t="n">
        <f aca="false">IF(33&lt;=Assumptions!$C$57,-Assumptions!$C$56/Assumptions!$C$57,0)</f>
        <v>0</v>
      </c>
      <c r="AI16" s="44" t="n">
        <f aca="false">IF(34&lt;=Assumptions!$C$57,-Assumptions!$C$56/Assumptions!$C$57,0)</f>
        <v>0</v>
      </c>
      <c r="AJ16" s="44" t="n">
        <f aca="false">IF(35&lt;=Assumptions!$C$57,-Assumptions!$C$56/Assumptions!$C$57,0)</f>
        <v>0</v>
      </c>
      <c r="AK16" s="44" t="n">
        <f aca="false">IF(36&lt;=Assumptions!$C$57,-Assumptions!$C$56/Assumptions!$C$57,0)</f>
        <v>0</v>
      </c>
    </row>
    <row r="17" customFormat="false" ht="15" hidden="false" customHeight="true" outlineLevel="0" collapsed="false">
      <c r="A17" s="4" t="s">
        <v>182</v>
      </c>
      <c r="B17" s="44" t="n">
        <f aca="false">IF(1&lt;=Assumptions!$C$59,-Assumptions!$C$58/Assumptions!$C$59,0)</f>
        <v>-1666.66666666667</v>
      </c>
      <c r="C17" s="44" t="n">
        <f aca="false">IF(2&lt;=Assumptions!$C$59,-Assumptions!$C$58/Assumptions!$C$59,0)</f>
        <v>-1666.66666666667</v>
      </c>
      <c r="D17" s="44" t="n">
        <f aca="false">IF(3&lt;=Assumptions!$C$59,-Assumptions!$C$58/Assumptions!$C$59,0)</f>
        <v>-1666.66666666667</v>
      </c>
      <c r="E17" s="44" t="n">
        <f aca="false">IF(4&lt;=Assumptions!$C$59,-Assumptions!$C$58/Assumptions!$C$59,0)</f>
        <v>-1666.66666666667</v>
      </c>
      <c r="F17" s="44" t="n">
        <f aca="false">IF(5&lt;=Assumptions!$C$59,-Assumptions!$C$58/Assumptions!$C$59,0)</f>
        <v>-1666.66666666667</v>
      </c>
      <c r="G17" s="44" t="n">
        <f aca="false">IF(6&lt;=Assumptions!$C$59,-Assumptions!$C$58/Assumptions!$C$59,0)</f>
        <v>-1666.66666666667</v>
      </c>
      <c r="H17" s="44" t="n">
        <f aca="false">IF(7&lt;=Assumptions!$C$59,-Assumptions!$C$58/Assumptions!$C$59,0)</f>
        <v>0</v>
      </c>
      <c r="I17" s="44" t="n">
        <f aca="false">IF(8&lt;=Assumptions!$C$59,-Assumptions!$C$58/Assumptions!$C$59,0)</f>
        <v>0</v>
      </c>
      <c r="J17" s="44" t="n">
        <f aca="false">IF(9&lt;=Assumptions!$C$59,-Assumptions!$C$58/Assumptions!$C$59,0)</f>
        <v>0</v>
      </c>
      <c r="K17" s="44" t="n">
        <f aca="false">IF(10&lt;=Assumptions!$C$59,-Assumptions!$C$58/Assumptions!$C$59,0)</f>
        <v>0</v>
      </c>
      <c r="L17" s="44" t="n">
        <f aca="false">IF(11&lt;=Assumptions!$C$59,-Assumptions!$C$58/Assumptions!$C$59,0)</f>
        <v>0</v>
      </c>
      <c r="M17" s="44" t="n">
        <f aca="false">IF(12&lt;=Assumptions!$C$59,-Assumptions!$C$58/Assumptions!$C$59,0)</f>
        <v>0</v>
      </c>
      <c r="N17" s="44" t="n">
        <f aca="false">IF(13&lt;=Assumptions!$C$59,-Assumptions!$C$58/Assumptions!$C$59,0)</f>
        <v>0</v>
      </c>
      <c r="O17" s="44" t="n">
        <f aca="false">IF(14&lt;=Assumptions!$C$59,-Assumptions!$C$58/Assumptions!$C$59,0)</f>
        <v>0</v>
      </c>
      <c r="P17" s="44" t="n">
        <f aca="false">IF(15&lt;=Assumptions!$C$59,-Assumptions!$C$58/Assumptions!$C$59,0)</f>
        <v>0</v>
      </c>
      <c r="Q17" s="44" t="n">
        <f aca="false">IF(16&lt;=Assumptions!$C$59,-Assumptions!$C$58/Assumptions!$C$59,0)</f>
        <v>0</v>
      </c>
      <c r="R17" s="44" t="n">
        <f aca="false">IF(17&lt;=Assumptions!$C$59,-Assumptions!$C$58/Assumptions!$C$59,0)</f>
        <v>0</v>
      </c>
      <c r="S17" s="44" t="n">
        <f aca="false">IF(18&lt;=Assumptions!$C$59,-Assumptions!$C$58/Assumptions!$C$59,0)</f>
        <v>0</v>
      </c>
      <c r="T17" s="44" t="n">
        <f aca="false">IF(19&lt;=Assumptions!$C$59,-Assumptions!$C$58/Assumptions!$C$59,0)</f>
        <v>0</v>
      </c>
      <c r="U17" s="44" t="n">
        <f aca="false">IF(20&lt;=Assumptions!$C$59,-Assumptions!$C$58/Assumptions!$C$59,0)</f>
        <v>0</v>
      </c>
      <c r="V17" s="44" t="n">
        <f aca="false">IF(21&lt;=Assumptions!$C$59,-Assumptions!$C$58/Assumptions!$C$59,0)</f>
        <v>0</v>
      </c>
      <c r="W17" s="44" t="n">
        <f aca="false">IF(22&lt;=Assumptions!$C$59,-Assumptions!$C$58/Assumptions!$C$59,0)</f>
        <v>0</v>
      </c>
      <c r="X17" s="44" t="n">
        <f aca="false">IF(23&lt;=Assumptions!$C$59,-Assumptions!$C$58/Assumptions!$C$59,0)</f>
        <v>0</v>
      </c>
      <c r="Y17" s="44" t="n">
        <f aca="false">IF(24&lt;=Assumptions!$C$59,-Assumptions!$C$58/Assumptions!$C$59,0)</f>
        <v>0</v>
      </c>
      <c r="Z17" s="44" t="n">
        <f aca="false">IF(25&lt;=Assumptions!$C$59,-Assumptions!$C$58/Assumptions!$C$59,0)</f>
        <v>0</v>
      </c>
      <c r="AA17" s="44" t="n">
        <f aca="false">IF(26&lt;=Assumptions!$C$59,-Assumptions!$C$58/Assumptions!$C$59,0)</f>
        <v>0</v>
      </c>
      <c r="AB17" s="44" t="n">
        <f aca="false">IF(27&lt;=Assumptions!$C$59,-Assumptions!$C$58/Assumptions!$C$59,0)</f>
        <v>0</v>
      </c>
      <c r="AC17" s="44" t="n">
        <f aca="false">IF(28&lt;=Assumptions!$C$59,-Assumptions!$C$58/Assumptions!$C$59,0)</f>
        <v>0</v>
      </c>
      <c r="AD17" s="44" t="n">
        <f aca="false">IF(29&lt;=Assumptions!$C$59,-Assumptions!$C$58/Assumptions!$C$59,0)</f>
        <v>0</v>
      </c>
      <c r="AE17" s="44" t="n">
        <f aca="false">IF(30&lt;=Assumptions!$C$59,-Assumptions!$C$58/Assumptions!$C$59,0)</f>
        <v>0</v>
      </c>
      <c r="AF17" s="44" t="n">
        <f aca="false">IF(31&lt;=Assumptions!$C$59,-Assumptions!$C$58/Assumptions!$C$59,0)</f>
        <v>0</v>
      </c>
      <c r="AG17" s="44" t="n">
        <f aca="false">IF(32&lt;=Assumptions!$C$59,-Assumptions!$C$58/Assumptions!$C$59,0)</f>
        <v>0</v>
      </c>
      <c r="AH17" s="44" t="n">
        <f aca="false">IF(33&lt;=Assumptions!$C$59,-Assumptions!$C$58/Assumptions!$C$59,0)</f>
        <v>0</v>
      </c>
      <c r="AI17" s="44" t="n">
        <f aca="false">IF(34&lt;=Assumptions!$C$59,-Assumptions!$C$58/Assumptions!$C$59,0)</f>
        <v>0</v>
      </c>
      <c r="AJ17" s="44" t="n">
        <f aca="false">IF(35&lt;=Assumptions!$C$59,-Assumptions!$C$58/Assumptions!$C$59,0)</f>
        <v>0</v>
      </c>
      <c r="AK17" s="44" t="n">
        <f aca="false">IF(36&lt;=Assumptions!$C$59,-Assumptions!$C$58/Assumptions!$C$59,0)</f>
        <v>0</v>
      </c>
    </row>
    <row r="18" customFormat="false" ht="15" hidden="false" customHeight="true" outlineLevel="0" collapsed="false">
      <c r="A18" s="14" t="s">
        <v>446</v>
      </c>
      <c r="B18" s="15" t="n">
        <f aca="false">SUM(B15:B17)</f>
        <v>-14166.6666666667</v>
      </c>
      <c r="C18" s="15" t="n">
        <f aca="false">SUM(C15:C17)</f>
        <v>-14166.6666666667</v>
      </c>
      <c r="D18" s="15" t="n">
        <f aca="false">SUM(D15:D17)</f>
        <v>-14166.6666666667</v>
      </c>
      <c r="E18" s="15" t="n">
        <f aca="false">SUM(E15:E17)</f>
        <v>-14166.6666666667</v>
      </c>
      <c r="F18" s="15" t="n">
        <f aca="false">SUM(F15:F17)</f>
        <v>-14166.6666666667</v>
      </c>
      <c r="G18" s="15" t="n">
        <f aca="false">SUM(G15:G17)</f>
        <v>-14166.6666666667</v>
      </c>
      <c r="H18" s="15" t="n">
        <f aca="false">SUM(H15:H17)</f>
        <v>0</v>
      </c>
      <c r="I18" s="15" t="n">
        <f aca="false">SUM(I15:I17)</f>
        <v>0</v>
      </c>
      <c r="J18" s="15" t="n">
        <f aca="false">SUM(J15:J17)</f>
        <v>0</v>
      </c>
      <c r="K18" s="15" t="n">
        <f aca="false">SUM(K15:K17)</f>
        <v>0</v>
      </c>
      <c r="L18" s="15" t="n">
        <f aca="false">SUM(L15:L17)</f>
        <v>0</v>
      </c>
      <c r="M18" s="15" t="n">
        <f aca="false">SUM(M15:M17)</f>
        <v>0</v>
      </c>
      <c r="N18" s="15" t="n">
        <f aca="false">SUM(N15:N17)</f>
        <v>0</v>
      </c>
      <c r="O18" s="15" t="n">
        <f aca="false">SUM(O15:O17)</f>
        <v>0</v>
      </c>
      <c r="P18" s="15" t="n">
        <f aca="false">SUM(P15:P17)</f>
        <v>0</v>
      </c>
      <c r="Q18" s="15" t="n">
        <f aca="false">SUM(Q15:Q17)</f>
        <v>0</v>
      </c>
      <c r="R18" s="15" t="n">
        <f aca="false">SUM(R15:R17)</f>
        <v>0</v>
      </c>
      <c r="S18" s="15" t="n">
        <f aca="false">SUM(S15:S17)</f>
        <v>0</v>
      </c>
      <c r="T18" s="15" t="n">
        <f aca="false">SUM(T15:T17)</f>
        <v>0</v>
      </c>
      <c r="U18" s="15" t="n">
        <f aca="false">SUM(U15:U17)</f>
        <v>0</v>
      </c>
      <c r="V18" s="15" t="n">
        <f aca="false">SUM(V15:V17)</f>
        <v>0</v>
      </c>
      <c r="W18" s="15" t="n">
        <f aca="false">SUM(W15:W17)</f>
        <v>0</v>
      </c>
      <c r="X18" s="15" t="n">
        <f aca="false">SUM(X15:X17)</f>
        <v>0</v>
      </c>
      <c r="Y18" s="15" t="n">
        <f aca="false">SUM(Y15:Y17)</f>
        <v>0</v>
      </c>
      <c r="Z18" s="15" t="n">
        <f aca="false">SUM(Z15:Z17)</f>
        <v>0</v>
      </c>
      <c r="AA18" s="15" t="n">
        <f aca="false">SUM(AA15:AA17)</f>
        <v>0</v>
      </c>
      <c r="AB18" s="15" t="n">
        <f aca="false">SUM(AB15:AB17)</f>
        <v>0</v>
      </c>
      <c r="AC18" s="15" t="n">
        <f aca="false">SUM(AC15:AC17)</f>
        <v>0</v>
      </c>
      <c r="AD18" s="15" t="n">
        <f aca="false">SUM(AD15:AD17)</f>
        <v>0</v>
      </c>
      <c r="AE18" s="15" t="n">
        <f aca="false">SUM(AE15:AE17)</f>
        <v>0</v>
      </c>
      <c r="AF18" s="15" t="n">
        <f aca="false">SUM(AF15:AF17)</f>
        <v>0</v>
      </c>
      <c r="AG18" s="15" t="n">
        <f aca="false">SUM(AG15:AG17)</f>
        <v>0</v>
      </c>
      <c r="AH18" s="15" t="n">
        <f aca="false">SUM(AH15:AH17)</f>
        <v>0</v>
      </c>
      <c r="AI18" s="15" t="n">
        <f aca="false">SUM(AI15:AI17)</f>
        <v>0</v>
      </c>
      <c r="AJ18" s="15" t="n">
        <f aca="false">SUM(AJ15:AJ17)</f>
        <v>0</v>
      </c>
      <c r="AK18" s="15" t="n">
        <f aca="false">SUM(AK15:AK17)</f>
        <v>0</v>
      </c>
    </row>
    <row r="19" customFormat="false" ht="15" hidden="false" customHeight="true" outlineLevel="0" collapsed="false">
      <c r="A19" s="4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 customFormat="false" ht="15" hidden="false" customHeight="true" outlineLevel="0" collapsed="false">
      <c r="A20" s="53" t="s">
        <v>447</v>
      </c>
      <c r="B20" s="54" t="n">
        <f aca="false">SUM(B13,B18)</f>
        <v>-24166.6666670917</v>
      </c>
      <c r="C20" s="54" t="n">
        <f aca="false">SUM(C13,C18)</f>
        <v>-24166.6666670917</v>
      </c>
      <c r="D20" s="54" t="n">
        <f aca="false">SUM(D13,D18)</f>
        <v>-24166.6666670917</v>
      </c>
      <c r="E20" s="54" t="n">
        <f aca="false">SUM(E13,E18)</f>
        <v>-27166.6666666667</v>
      </c>
      <c r="F20" s="54" t="n">
        <f aca="false">SUM(F13,F18)</f>
        <v>-27166.6666666667</v>
      </c>
      <c r="G20" s="54" t="n">
        <f aca="false">SUM(G13,G18)</f>
        <v>-27166.6666666667</v>
      </c>
      <c r="H20" s="54" t="n">
        <f aca="false">SUM(H13,H18)</f>
        <v>-13000</v>
      </c>
      <c r="I20" s="54" t="n">
        <f aca="false">SUM(I13,I18)</f>
        <v>-13000</v>
      </c>
      <c r="J20" s="54" t="n">
        <f aca="false">SUM(J13,J18)</f>
        <v>-13000</v>
      </c>
      <c r="K20" s="54" t="n">
        <f aca="false">SUM(K13,K18)</f>
        <v>-13000</v>
      </c>
      <c r="L20" s="54" t="n">
        <f aca="false">SUM(L13,L18)</f>
        <v>-13000</v>
      </c>
      <c r="M20" s="54" t="n">
        <f aca="false">SUM(M13,M18)</f>
        <v>-13000</v>
      </c>
      <c r="N20" s="54" t="n">
        <f aca="false">SUM(N13,N18)</f>
        <v>-13000</v>
      </c>
      <c r="O20" s="54" t="n">
        <f aca="false">SUM(O13,O18)</f>
        <v>-13000</v>
      </c>
      <c r="P20" s="54" t="n">
        <f aca="false">SUM(P13,P18)</f>
        <v>-13000</v>
      </c>
      <c r="Q20" s="54" t="n">
        <f aca="false">SUM(Q13,Q18)</f>
        <v>-13000</v>
      </c>
      <c r="R20" s="54" t="n">
        <f aca="false">SUM(R13,R18)</f>
        <v>-13000</v>
      </c>
      <c r="S20" s="54" t="n">
        <f aca="false">SUM(S13,S18)</f>
        <v>-13000</v>
      </c>
      <c r="T20" s="54" t="n">
        <f aca="false">SUM(T13,T18)</f>
        <v>-13000</v>
      </c>
      <c r="U20" s="54" t="n">
        <f aca="false">SUM(U13,U18)</f>
        <v>-13000</v>
      </c>
      <c r="V20" s="54" t="n">
        <f aca="false">SUM(V13,V18)</f>
        <v>-13000</v>
      </c>
      <c r="W20" s="54" t="n">
        <f aca="false">SUM(W13,W18)</f>
        <v>-13000</v>
      </c>
      <c r="X20" s="54" t="n">
        <f aca="false">SUM(X13,X18)</f>
        <v>-13000</v>
      </c>
      <c r="Y20" s="54" t="n">
        <f aca="false">SUM(Y13,Y18)</f>
        <v>-13000</v>
      </c>
      <c r="Z20" s="54" t="n">
        <f aca="false">SUM(Z13,Z18)</f>
        <v>-13000</v>
      </c>
      <c r="AA20" s="54" t="n">
        <f aca="false">SUM(AA13,AA18)</f>
        <v>-13000</v>
      </c>
      <c r="AB20" s="54" t="n">
        <f aca="false">SUM(AB13,AB18)</f>
        <v>-13000</v>
      </c>
      <c r="AC20" s="54" t="n">
        <f aca="false">SUM(AC13,AC18)</f>
        <v>-13000</v>
      </c>
      <c r="AD20" s="54" t="n">
        <f aca="false">SUM(AD13,AD18)</f>
        <v>-13000</v>
      </c>
      <c r="AE20" s="54" t="n">
        <f aca="false">SUM(AE13,AE18)</f>
        <v>-13000</v>
      </c>
      <c r="AF20" s="54" t="n">
        <f aca="false">SUM(AF13,AF18)</f>
        <v>-13000</v>
      </c>
      <c r="AG20" s="54" t="n">
        <f aca="false">SUM(AG13,AG18)</f>
        <v>-13000</v>
      </c>
      <c r="AH20" s="54" t="n">
        <f aca="false">SUM(AH13,AH18)</f>
        <v>-13000</v>
      </c>
      <c r="AI20" s="54" t="n">
        <f aca="false">SUM(AI13,AI18)</f>
        <v>-13000</v>
      </c>
      <c r="AJ20" s="54" t="n">
        <f aca="false">SUM(AJ13,AJ18)</f>
        <v>-13000</v>
      </c>
      <c r="AK20" s="54" t="n">
        <f aca="false">SUM(AK13,AK18)</f>
        <v>-13000</v>
      </c>
    </row>
    <row r="21" customFormat="false" ht="1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customFormat="false" ht="1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customFormat="false" ht="15" hidden="false" customHeight="tru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customFormat="false" ht="1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customFormat="false" ht="15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customFormat="false" ht="15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customFormat="false" ht="15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customFormat="false" ht="1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customFormat="false" ht="15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customFormat="false" ht="1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customFormat="false" ht="15" hidden="false" customHeight="tru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customFormat="false" ht="1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customFormat="false" ht="15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customFormat="false" ht="15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customFormat="false" ht="15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customFormat="false" ht="15" hidden="false" customHeight="tru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customFormat="false" ht="1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customFormat="false" ht="15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customFormat="false" ht="15" hidden="false" customHeight="tru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customFormat="false" ht="15" hidden="false" customHeight="tru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customFormat="false" ht="15" hidden="false" customHeight="tru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customFormat="false" ht="15" hidden="false" customHeight="tru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customFormat="false" ht="1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customFormat="false" ht="15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customFormat="false" ht="15" hidden="false" customHeight="tru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customFormat="false" ht="15" hidden="false" customHeight="tru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customFormat="false" ht="1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customFormat="false" ht="15" hidden="false" customHeight="tru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customFormat="false" ht="15" hidden="false" customHeight="tru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customFormat="false" ht="15" hidden="false" customHeight="tru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customFormat="false" ht="15" hidden="false" customHeight="tru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customFormat="false" ht="15" hidden="false" customHeight="tru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customFormat="false" ht="15" hidden="false" customHeight="tru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customFormat="false" ht="15" hidden="false" customHeight="tru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customFormat="false" ht="15" hidden="false" customHeight="tru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customFormat="false" ht="15" hidden="false" customHeight="tru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customFormat="false" ht="1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 customFormat="false" ht="1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 customFormat="false" ht="1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 customFormat="false" ht="1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</sheetData>
  <mergeCells count="3">
    <mergeCell ref="A1:AK1"/>
    <mergeCell ref="A2:AK2"/>
    <mergeCell ref="A9:AK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.11"/>
  </cols>
  <sheetData>
    <row r="1" customFormat="false" ht="25.5" hidden="false" customHeight="true" outlineLevel="0" collapsed="false">
      <c r="A1" s="2" t="s">
        <v>448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customFormat="false" ht="24" hidden="false" customHeight="true" outlineLevel="0" collapsed="false">
      <c r="A2" s="3" t="s">
        <v>449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customFormat="false" ht="1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customFormat="false" ht="15" hidden="false" customHeight="true" outlineLevel="0" collapsed="false">
      <c r="A5" s="41" t="s">
        <v>286</v>
      </c>
      <c r="B5" s="41" t="s">
        <v>287</v>
      </c>
      <c r="C5" s="41" t="s">
        <v>288</v>
      </c>
      <c r="D5" s="41" t="s">
        <v>289</v>
      </c>
      <c r="E5" s="41" t="s">
        <v>290</v>
      </c>
      <c r="F5" s="41" t="s">
        <v>291</v>
      </c>
      <c r="G5" s="41" t="s">
        <v>292</v>
      </c>
      <c r="H5" s="41" t="s">
        <v>293</v>
      </c>
      <c r="I5" s="41" t="s">
        <v>294</v>
      </c>
      <c r="J5" s="41" t="s">
        <v>295</v>
      </c>
      <c r="K5" s="41" t="s">
        <v>296</v>
      </c>
      <c r="L5" s="41" t="s">
        <v>297</v>
      </c>
      <c r="M5" s="41" t="s">
        <v>298</v>
      </c>
      <c r="N5" s="41" t="s">
        <v>299</v>
      </c>
      <c r="O5" s="41" t="s">
        <v>300</v>
      </c>
      <c r="P5" s="41" t="s">
        <v>301</v>
      </c>
      <c r="Q5" s="41" t="s">
        <v>302</v>
      </c>
      <c r="R5" s="41" t="s">
        <v>303</v>
      </c>
      <c r="S5" s="41" t="s">
        <v>304</v>
      </c>
      <c r="T5" s="41" t="s">
        <v>305</v>
      </c>
      <c r="U5" s="41" t="s">
        <v>306</v>
      </c>
      <c r="V5" s="41" t="s">
        <v>307</v>
      </c>
      <c r="W5" s="41" t="s">
        <v>308</v>
      </c>
      <c r="X5" s="41" t="s">
        <v>309</v>
      </c>
      <c r="Y5" s="41" t="s">
        <v>310</v>
      </c>
      <c r="Z5" s="41" t="s">
        <v>311</v>
      </c>
      <c r="AA5" s="41" t="s">
        <v>312</v>
      </c>
      <c r="AB5" s="41" t="s">
        <v>313</v>
      </c>
      <c r="AC5" s="41" t="s">
        <v>314</v>
      </c>
      <c r="AD5" s="41" t="s">
        <v>315</v>
      </c>
      <c r="AE5" s="41" t="s">
        <v>316</v>
      </c>
      <c r="AF5" s="41" t="s">
        <v>317</v>
      </c>
      <c r="AG5" s="41" t="s">
        <v>318</v>
      </c>
      <c r="AH5" s="41" t="s">
        <v>319</v>
      </c>
      <c r="AI5" s="41" t="s">
        <v>320</v>
      </c>
      <c r="AJ5" s="41" t="s">
        <v>321</v>
      </c>
      <c r="AK5" s="41" t="s">
        <v>322</v>
      </c>
    </row>
    <row r="6" customFormat="false" ht="15" hidden="false" customHeight="true" outlineLevel="0" collapsed="false">
      <c r="A6" s="41" t="s">
        <v>40</v>
      </c>
      <c r="B6" s="41" t="s">
        <v>45</v>
      </c>
      <c r="C6" s="41" t="s">
        <v>45</v>
      </c>
      <c r="D6" s="41" t="s">
        <v>45</v>
      </c>
      <c r="E6" s="41" t="s">
        <v>45</v>
      </c>
      <c r="F6" s="41" t="s">
        <v>45</v>
      </c>
      <c r="G6" s="41" t="s">
        <v>45</v>
      </c>
      <c r="H6" s="41" t="s">
        <v>45</v>
      </c>
      <c r="I6" s="41" t="s">
        <v>45</v>
      </c>
      <c r="J6" s="41" t="s">
        <v>45</v>
      </c>
      <c r="K6" s="41" t="s">
        <v>45</v>
      </c>
      <c r="L6" s="41" t="s">
        <v>45</v>
      </c>
      <c r="M6" s="41" t="s">
        <v>45</v>
      </c>
      <c r="N6" s="41" t="s">
        <v>46</v>
      </c>
      <c r="O6" s="41" t="s">
        <v>46</v>
      </c>
      <c r="P6" s="41" t="s">
        <v>46</v>
      </c>
      <c r="Q6" s="41" t="s">
        <v>46</v>
      </c>
      <c r="R6" s="41" t="s">
        <v>46</v>
      </c>
      <c r="S6" s="41" t="s">
        <v>46</v>
      </c>
      <c r="T6" s="41" t="s">
        <v>46</v>
      </c>
      <c r="U6" s="41" t="s">
        <v>46</v>
      </c>
      <c r="V6" s="41" t="s">
        <v>46</v>
      </c>
      <c r="W6" s="41" t="s">
        <v>46</v>
      </c>
      <c r="X6" s="41" t="s">
        <v>46</v>
      </c>
      <c r="Y6" s="41" t="s">
        <v>46</v>
      </c>
      <c r="Z6" s="41" t="s">
        <v>47</v>
      </c>
      <c r="AA6" s="41" t="s">
        <v>47</v>
      </c>
      <c r="AB6" s="41" t="s">
        <v>47</v>
      </c>
      <c r="AC6" s="41" t="s">
        <v>47</v>
      </c>
      <c r="AD6" s="41" t="s">
        <v>47</v>
      </c>
      <c r="AE6" s="41" t="s">
        <v>47</v>
      </c>
      <c r="AF6" s="41" t="s">
        <v>47</v>
      </c>
      <c r="AG6" s="41" t="s">
        <v>47</v>
      </c>
      <c r="AH6" s="41" t="s">
        <v>47</v>
      </c>
      <c r="AI6" s="41" t="s">
        <v>47</v>
      </c>
      <c r="AJ6" s="41" t="s">
        <v>47</v>
      </c>
      <c r="AK6" s="41" t="s">
        <v>47</v>
      </c>
    </row>
    <row r="7" customFormat="false" ht="15" hidden="false" customHeight="true" outlineLevel="0" collapsed="false">
      <c r="A7" s="42" t="s">
        <v>323</v>
      </c>
      <c r="B7" s="42" t="s">
        <v>324</v>
      </c>
      <c r="C7" s="42" t="s">
        <v>324</v>
      </c>
      <c r="D7" s="42" t="s">
        <v>324</v>
      </c>
      <c r="E7" s="42" t="s">
        <v>325</v>
      </c>
      <c r="F7" s="42" t="s">
        <v>325</v>
      </c>
      <c r="G7" s="42" t="s">
        <v>326</v>
      </c>
      <c r="H7" s="42" t="s">
        <v>327</v>
      </c>
      <c r="I7" s="42" t="s">
        <v>327</v>
      </c>
      <c r="J7" s="42" t="s">
        <v>327</v>
      </c>
      <c r="K7" s="42" t="s">
        <v>328</v>
      </c>
      <c r="L7" s="42" t="s">
        <v>328</v>
      </c>
      <c r="M7" s="42" t="s">
        <v>328</v>
      </c>
      <c r="N7" s="42" t="s">
        <v>329</v>
      </c>
      <c r="O7" s="42" t="s">
        <v>329</v>
      </c>
      <c r="P7" s="42" t="s">
        <v>329</v>
      </c>
      <c r="Q7" s="42" t="s">
        <v>329</v>
      </c>
      <c r="R7" s="42" t="s">
        <v>329</v>
      </c>
      <c r="S7" s="42" t="s">
        <v>329</v>
      </c>
      <c r="T7" s="42" t="s">
        <v>329</v>
      </c>
      <c r="U7" s="42" t="s">
        <v>329</v>
      </c>
      <c r="V7" s="42" t="s">
        <v>329</v>
      </c>
      <c r="W7" s="42" t="s">
        <v>329</v>
      </c>
      <c r="X7" s="42" t="s">
        <v>329</v>
      </c>
      <c r="Y7" s="42" t="s">
        <v>329</v>
      </c>
      <c r="Z7" s="42" t="s">
        <v>329</v>
      </c>
      <c r="AA7" s="42" t="s">
        <v>329</v>
      </c>
      <c r="AB7" s="42" t="s">
        <v>329</v>
      </c>
      <c r="AC7" s="42" t="s">
        <v>329</v>
      </c>
      <c r="AD7" s="42" t="s">
        <v>329</v>
      </c>
      <c r="AE7" s="42" t="s">
        <v>329</v>
      </c>
      <c r="AF7" s="42" t="s">
        <v>329</v>
      </c>
      <c r="AG7" s="42" t="s">
        <v>329</v>
      </c>
      <c r="AH7" s="42" t="s">
        <v>329</v>
      </c>
      <c r="AI7" s="42" t="s">
        <v>329</v>
      </c>
      <c r="AJ7" s="42" t="s">
        <v>329</v>
      </c>
      <c r="AK7" s="42" t="s">
        <v>329</v>
      </c>
    </row>
    <row r="8" customFormat="false" ht="15" hidden="false" customHeight="tru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customFormat="false" ht="17.25" hidden="false" customHeight="true" outlineLevel="0" collapsed="false">
      <c r="A9" s="5" t="s">
        <v>450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customFormat="false" ht="15" hidden="false" customHeight="true" outlineLevel="0" collapsed="false">
      <c r="A10" s="4" t="s">
        <v>451</v>
      </c>
      <c r="B10" s="44" t="n">
        <f aca="false">SUM('Physical Business'!B18,'Growth Extensions'!B11,'Growth Extensions'!B15)</f>
        <v>19895.652173913</v>
      </c>
      <c r="C10" s="44" t="n">
        <f aca="false">SUM('Physical Business'!C18,'Growth Extensions'!C11,'Growth Extensions'!C15)</f>
        <v>19927.652173913</v>
      </c>
      <c r="D10" s="44" t="n">
        <f aca="false">SUM('Physical Business'!D18,'Growth Extensions'!D11,'Growth Extensions'!D15)</f>
        <v>19959.972173913</v>
      </c>
      <c r="E10" s="44" t="n">
        <f aca="false">SUM('Physical Business'!E18,'Growth Extensions'!E11,'Growth Extensions'!E15)</f>
        <v>25557.8327652174</v>
      </c>
      <c r="F10" s="44" t="n">
        <f aca="false">SUM('Physical Business'!F18,'Growth Extensions'!F11,'Growth Extensions'!F15)</f>
        <v>25590.8023972174</v>
      </c>
      <c r="G10" s="44" t="n">
        <f aca="false">SUM('Physical Business'!G18,'Growth Extensions'!G11,'Growth Extensions'!G15)</f>
        <v>25624.1017255374</v>
      </c>
      <c r="H10" s="44" t="n">
        <f aca="false">SUM('Physical Business'!H18,'Growth Extensions'!H11,'Growth Extensions'!H15)</f>
        <v>34005.5601340971</v>
      </c>
      <c r="I10" s="44" t="n">
        <f aca="false">SUM('Physical Business'!I18,'Growth Extensions'!I11,'Growth Extensions'!I15)</f>
        <v>34039.5287789163</v>
      </c>
      <c r="J10" s="44" t="n">
        <f aca="false">SUM('Physical Business'!J18,'Growth Extensions'!J11,'Growth Extensions'!J15)</f>
        <v>39773.8371101838</v>
      </c>
      <c r="K10" s="44" t="n">
        <f aca="false">SUM('Physical Business'!K18,'Growth Extensions'!K11,'Growth Extensions'!K15)</f>
        <v>39843.139939344</v>
      </c>
      <c r="L10" s="44" t="n">
        <f aca="false">SUM('Physical Business'!L18,'Growth Extensions'!L11,'Growth Extensions'!L15)</f>
        <v>39913.8288250874</v>
      </c>
      <c r="M10" s="44" t="n">
        <f aca="false">SUM('Physical Business'!M18,'Growth Extensions'!M11,'Growth Extensions'!M15)</f>
        <v>39985.9314885456</v>
      </c>
      <c r="N10" s="44" t="n">
        <f aca="false">SUM('Physical Business'!N18,'Growth Extensions'!N11,'Growth Extensions'!N15)</f>
        <v>43998.3201183166</v>
      </c>
      <c r="O10" s="44" t="n">
        <f aca="false">SUM('Physical Business'!O18,'Growth Extensions'!O11,'Growth Extensions'!O15)</f>
        <v>44076.5357293785</v>
      </c>
      <c r="P10" s="44" t="n">
        <f aca="false">SUM('Physical Business'!P18,'Growth Extensions'!P11,'Growth Extensions'!P15)</f>
        <v>44156.2836526618</v>
      </c>
      <c r="Q10" s="44" t="n">
        <f aca="false">SUM('Physical Business'!Q18,'Growth Extensions'!Q11,'Growth Extensions'!Q15)</f>
        <v>44794.1159535411</v>
      </c>
      <c r="R10" s="44" t="n">
        <f aca="false">SUM('Physical Business'!R18,'Growth Extensions'!R11,'Growth Extensions'!R15)</f>
        <v>44877.0200833249</v>
      </c>
      <c r="S10" s="44" t="n">
        <f aca="false">SUM('Physical Business'!S18,'Growth Extensions'!S11,'Growth Extensions'!S15)</f>
        <v>44961.5493260725</v>
      </c>
      <c r="T10" s="44" t="n">
        <f aca="false">SUM('Physical Business'!T18,'Growth Extensions'!T11,'Growth Extensions'!T15)</f>
        <v>45882.5184630423</v>
      </c>
      <c r="U10" s="44" t="n">
        <f aca="false">SUM('Physical Business'!U18,'Growth Extensions'!U11,'Growth Extensions'!U15)</f>
        <v>45970.3950895604</v>
      </c>
      <c r="V10" s="44" t="n">
        <f aca="false">SUM('Physical Business'!V18,'Growth Extensions'!V11,'Growth Extensions'!V15)</f>
        <v>49259.995279964</v>
      </c>
      <c r="W10" s="44" t="n">
        <f aca="false">SUM('Physical Business'!W18,'Growth Extensions'!W11,'Growth Extensions'!W15)</f>
        <v>49354.8183073024</v>
      </c>
      <c r="X10" s="44" t="n">
        <f aca="false">SUM('Physical Business'!X18,'Growth Extensions'!X11,'Growth Extensions'!X15)</f>
        <v>49451.5377951875</v>
      </c>
      <c r="Y10" s="44" t="n">
        <f aca="false">SUM('Physical Business'!Y18,'Growth Extensions'!Y11,'Growth Extensions'!Y15)</f>
        <v>49550.1916728304</v>
      </c>
      <c r="Z10" s="44" t="n">
        <f aca="false">SUM('Physical Business'!Z18,'Growth Extensions'!Z11,'Growth Extensions'!Z15)</f>
        <v>50762.4094975914</v>
      </c>
      <c r="AA10" s="44" t="n">
        <f aca="false">SUM('Physical Business'!AA18,'Growth Extensions'!AA11,'Growth Extensions'!AA15)</f>
        <v>50865.048991891</v>
      </c>
      <c r="AB10" s="44" t="n">
        <f aca="false">SUM('Physical Business'!AB18,'Growth Extensions'!AB11,'Growth Extensions'!AB15)</f>
        <v>50969.7412760767</v>
      </c>
      <c r="AC10" s="44" t="n">
        <f aca="false">SUM('Physical Business'!AC18,'Growth Extensions'!AC11,'Growth Extensions'!AC15)</f>
        <v>51076.527405946</v>
      </c>
      <c r="AD10" s="44" t="n">
        <f aca="false">SUM('Physical Business'!AD18,'Growth Extensions'!AD11,'Growth Extensions'!AD15)</f>
        <v>51185.4492584128</v>
      </c>
      <c r="AE10" s="44" t="n">
        <f aca="false">SUM('Physical Business'!AE18,'Growth Extensions'!AE11,'Growth Extensions'!AE15)</f>
        <v>51296.5495479289</v>
      </c>
      <c r="AF10" s="44" t="n">
        <f aca="false">SUM('Physical Business'!AF18,'Growth Extensions'!AF11,'Growth Extensions'!AF15)</f>
        <v>51409.8718432353</v>
      </c>
      <c r="AG10" s="44" t="n">
        <f aca="false">SUM('Physical Business'!AG18,'Growth Extensions'!AG11,'Growth Extensions'!AG15)</f>
        <v>51525.4605844478</v>
      </c>
      <c r="AH10" s="44" t="n">
        <f aca="false">SUM('Physical Business'!AH18,'Growth Extensions'!AH11,'Growth Extensions'!AH15)</f>
        <v>54843.3611004846</v>
      </c>
      <c r="AI10" s="44" t="n">
        <f aca="false">SUM('Physical Business'!AI18,'Growth Extensions'!AI11,'Growth Extensions'!AI15)</f>
        <v>54963.6196268421</v>
      </c>
      <c r="AJ10" s="44" t="n">
        <f aca="false">SUM('Physical Business'!AJ18,'Growth Extensions'!AJ11,'Growth Extensions'!AJ15)</f>
        <v>55086.2833237268</v>
      </c>
      <c r="AK10" s="44" t="n">
        <f aca="false">SUM('Physical Business'!AK18,'Growth Extensions'!AK11,'Growth Extensions'!AK15)</f>
        <v>55211.4002945491</v>
      </c>
    </row>
    <row r="11" customFormat="false" ht="15" hidden="false" customHeight="true" outlineLevel="0" collapsed="false">
      <c r="A11" s="4" t="s">
        <v>11</v>
      </c>
      <c r="B11" s="44" t="n">
        <f aca="false">'AI Cohorts'!B32</f>
        <v>0</v>
      </c>
      <c r="C11" s="44" t="n">
        <f aca="false">'AI Cohorts'!C32</f>
        <v>0</v>
      </c>
      <c r="D11" s="44" t="n">
        <f aca="false">'AI Cohorts'!D32</f>
        <v>0</v>
      </c>
      <c r="E11" s="44" t="n">
        <f aca="false">'AI Cohorts'!E32</f>
        <v>5696.44213956522</v>
      </c>
      <c r="F11" s="44" t="n">
        <f aca="false">'AI Cohorts'!F32</f>
        <v>6857.66019822522</v>
      </c>
      <c r="G11" s="44" t="n">
        <f aca="false">'AI Cohorts'!G32</f>
        <v>7926.82833779502</v>
      </c>
      <c r="H11" s="44" t="n">
        <f aca="false">'AI Cohorts'!H32</f>
        <v>13858.523996002</v>
      </c>
      <c r="I11" s="44" t="n">
        <f aca="false">'AI Cohorts'!I32</f>
        <v>15661.519990991</v>
      </c>
      <c r="J11" s="44" t="n">
        <f aca="false">'AI Cohorts'!J32</f>
        <v>17321.1495128568</v>
      </c>
      <c r="K11" s="44" t="n">
        <f aca="false">'AI Cohorts'!K32</f>
        <v>16961.8143246191</v>
      </c>
      <c r="L11" s="44" t="n">
        <f aca="false">'AI Cohorts'!L32</f>
        <v>17966.1459415547</v>
      </c>
      <c r="M11" s="44" t="n">
        <f aca="false">'AI Cohorts'!M32</f>
        <v>18892.0078190519</v>
      </c>
      <c r="N11" s="44" t="n">
        <f aca="false">'AI Cohorts'!N32</f>
        <v>19980.4976807599</v>
      </c>
      <c r="O11" s="44" t="n">
        <f aca="false">'AI Cohorts'!O32</f>
        <v>20818.2609657602</v>
      </c>
      <c r="P11" s="44" t="n">
        <f aca="false">'AI Cohorts'!P32</f>
        <v>21590.9948524343</v>
      </c>
      <c r="Q11" s="44" t="n">
        <f aca="false">'AI Cohorts'!Q32</f>
        <v>24705.3582780441</v>
      </c>
      <c r="R11" s="44" t="n">
        <f aca="false">'AI Cohorts'!R32</f>
        <v>25364.5792520371</v>
      </c>
      <c r="S11" s="44" t="n">
        <f aca="false">'AI Cohorts'!S32</f>
        <v>25973.2875299821</v>
      </c>
      <c r="T11" s="44" t="n">
        <f aca="false">'AI Cohorts'!T32</f>
        <v>31340.2165814073</v>
      </c>
      <c r="U11" s="44" t="n">
        <f aca="false">'AI Cohorts'!U32</f>
        <v>32377.326775345</v>
      </c>
      <c r="V11" s="44" t="n">
        <f aca="false">'AI Cohorts'!V32</f>
        <v>33333.8258789311</v>
      </c>
      <c r="W11" s="44" t="n">
        <f aca="false">'AI Cohorts'!W32</f>
        <v>33376.4598383543</v>
      </c>
      <c r="X11" s="44" t="n">
        <f aca="false">'AI Cohorts'!X32</f>
        <v>34192.0428438543</v>
      </c>
      <c r="Y11" s="44" t="n">
        <f aca="false">'AI Cohorts'!Y32</f>
        <v>34945.0248470017</v>
      </c>
      <c r="Z11" s="44" t="n">
        <f aca="false">'AI Cohorts'!Z32</f>
        <v>35744.9451016161</v>
      </c>
      <c r="AA11" s="44" t="n">
        <f aca="false">'AI Cohorts'!AA32</f>
        <v>36387.5042577274</v>
      </c>
      <c r="AB11" s="44" t="n">
        <f aca="false">'AI Cohorts'!AB32</f>
        <v>36981.4662536532</v>
      </c>
      <c r="AC11" s="44" t="n">
        <f aca="false">'AI Cohorts'!AC32</f>
        <v>38611.4125521025</v>
      </c>
      <c r="AD11" s="44" t="n">
        <f aca="false">'AI Cohorts'!AD32</f>
        <v>39120.2546675213</v>
      </c>
      <c r="AE11" s="44" t="n">
        <f aca="false">'AI Cohorts'!AE32</f>
        <v>39591.4189671151</v>
      </c>
      <c r="AF11" s="44" t="n">
        <f aca="false">'AI Cohorts'!AF32</f>
        <v>41936.946846611</v>
      </c>
      <c r="AG11" s="44" t="n">
        <f aca="false">'AI Cohorts'!AG32</f>
        <v>42341.7337110827</v>
      </c>
      <c r="AH11" s="44" t="n">
        <f aca="false">'AI Cohorts'!AH32</f>
        <v>42717.3510631808</v>
      </c>
      <c r="AI11" s="44" t="n">
        <f aca="false">'AI Cohorts'!AI32</f>
        <v>42688.3091896366</v>
      </c>
      <c r="AJ11" s="44" t="n">
        <f aca="false">'AI Cohorts'!AJ32</f>
        <v>43013.191979113</v>
      </c>
      <c r="AK11" s="44" t="n">
        <f aca="false">'AI Cohorts'!AK32</f>
        <v>43315.558890831</v>
      </c>
    </row>
    <row r="12" customFormat="false" ht="15" hidden="false" customHeight="true" outlineLevel="0" collapsed="false">
      <c r="A12" s="14" t="s">
        <v>13</v>
      </c>
      <c r="B12" s="57" t="n">
        <f aca="false">SUM(B10:B11)</f>
        <v>19895.652173913</v>
      </c>
      <c r="C12" s="57" t="n">
        <f aca="false">SUM(C10:C11)</f>
        <v>19927.652173913</v>
      </c>
      <c r="D12" s="57" t="n">
        <f aca="false">SUM(D10:D11)</f>
        <v>19959.972173913</v>
      </c>
      <c r="E12" s="57" t="n">
        <f aca="false">SUM(E10:E11)</f>
        <v>31254.2749047826</v>
      </c>
      <c r="F12" s="57" t="n">
        <f aca="false">SUM(F10:F11)</f>
        <v>32448.4625954426</v>
      </c>
      <c r="G12" s="57" t="n">
        <f aca="false">SUM(G10:G11)</f>
        <v>33550.9300633324</v>
      </c>
      <c r="H12" s="57" t="n">
        <f aca="false">SUM(H10:H11)</f>
        <v>47864.0841300991</v>
      </c>
      <c r="I12" s="57" t="n">
        <f aca="false">SUM(I10:I11)</f>
        <v>49701.0487699073</v>
      </c>
      <c r="J12" s="57" t="n">
        <f aca="false">SUM(J10:J11)</f>
        <v>57094.9866230405</v>
      </c>
      <c r="K12" s="57" t="n">
        <f aca="false">SUM(K10:K11)</f>
        <v>56804.9542639631</v>
      </c>
      <c r="L12" s="57" t="n">
        <f aca="false">SUM(L10:L11)</f>
        <v>57879.9747666421</v>
      </c>
      <c r="M12" s="57" t="n">
        <f aca="false">SUM(M10:M11)</f>
        <v>58877.9393075976</v>
      </c>
      <c r="N12" s="57" t="n">
        <f aca="false">SUM(N10:N11)</f>
        <v>63978.8177990764</v>
      </c>
      <c r="O12" s="57" t="n">
        <f aca="false">SUM(O10:O11)</f>
        <v>64894.7966951388</v>
      </c>
      <c r="P12" s="57" t="n">
        <f aca="false">SUM(P10:P11)</f>
        <v>65747.2785050961</v>
      </c>
      <c r="Q12" s="57" t="n">
        <f aca="false">SUM(Q10:Q11)</f>
        <v>69499.4742315852</v>
      </c>
      <c r="R12" s="57" t="n">
        <f aca="false">SUM(R10:R11)</f>
        <v>70241.599335362</v>
      </c>
      <c r="S12" s="57" t="n">
        <f aca="false">SUM(S10:S11)</f>
        <v>70934.8368560546</v>
      </c>
      <c r="T12" s="57" t="n">
        <f aca="false">SUM(T10:T11)</f>
        <v>77222.7350444496</v>
      </c>
      <c r="U12" s="57" t="n">
        <f aca="false">SUM(U10:U11)</f>
        <v>78347.7218649053</v>
      </c>
      <c r="V12" s="57" t="n">
        <f aca="false">SUM(V10:V11)</f>
        <v>82593.8211588951</v>
      </c>
      <c r="W12" s="57" t="n">
        <f aca="false">SUM(W10:W11)</f>
        <v>82731.2781456566</v>
      </c>
      <c r="X12" s="57" t="n">
        <f aca="false">SUM(X10:X11)</f>
        <v>83643.5806390418</v>
      </c>
      <c r="Y12" s="57" t="n">
        <f aca="false">SUM(Y10:Y11)</f>
        <v>84495.2165198322</v>
      </c>
      <c r="Z12" s="57" t="n">
        <f aca="false">SUM(Z10:Z11)</f>
        <v>86507.3545992074</v>
      </c>
      <c r="AA12" s="57" t="n">
        <f aca="false">SUM(AA10:AA11)</f>
        <v>87252.5532496184</v>
      </c>
      <c r="AB12" s="57" t="n">
        <f aca="false">SUM(AB10:AB11)</f>
        <v>87951.2075297299</v>
      </c>
      <c r="AC12" s="57" t="n">
        <f aca="false">SUM(AC10:AC11)</f>
        <v>89687.9399580485</v>
      </c>
      <c r="AD12" s="57" t="n">
        <f aca="false">SUM(AD10:AD11)</f>
        <v>90305.7039259341</v>
      </c>
      <c r="AE12" s="57" t="n">
        <f aca="false">SUM(AE10:AE11)</f>
        <v>90887.968515044</v>
      </c>
      <c r="AF12" s="57" t="n">
        <f aca="false">SUM(AF10:AF11)</f>
        <v>93346.8186898463</v>
      </c>
      <c r="AG12" s="57" t="n">
        <f aca="false">SUM(AG10:AG11)</f>
        <v>93867.1942955305</v>
      </c>
      <c r="AH12" s="57" t="n">
        <f aca="false">SUM(AH10:AH11)</f>
        <v>97560.7121636654</v>
      </c>
      <c r="AI12" s="57" t="n">
        <f aca="false">SUM(AI10:AI11)</f>
        <v>97651.9288164787</v>
      </c>
      <c r="AJ12" s="57" t="n">
        <f aca="false">SUM(AJ10:AJ11)</f>
        <v>98099.4753028397</v>
      </c>
      <c r="AK12" s="57" t="n">
        <f aca="false">SUM(AK10:AK11)</f>
        <v>98526.9591853801</v>
      </c>
    </row>
    <row r="13" customFormat="false" ht="15" hidden="false" customHeight="true" outlineLevel="0" collapsed="false">
      <c r="A13" s="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</row>
    <row r="14" customFormat="false" ht="15" hidden="false" customHeight="true" outlineLevel="0" collapsed="false">
      <c r="A14" s="4" t="s">
        <v>452</v>
      </c>
      <c r="B14" s="44" t="n">
        <f aca="false">SUM('Physical Business'!B19,'Growth Extensions'!B12,'Growth Extensions'!B16)</f>
        <v>-7460.86956521739</v>
      </c>
      <c r="C14" s="44" t="n">
        <f aca="false">SUM('Physical Business'!C19,'Growth Extensions'!C12,'Growth Extensions'!C16)</f>
        <v>-7472.86956521739</v>
      </c>
      <c r="D14" s="44" t="n">
        <f aca="false">SUM('Physical Business'!D19,'Growth Extensions'!D12,'Growth Extensions'!D16)</f>
        <v>-7484.98956521739</v>
      </c>
      <c r="E14" s="44" t="n">
        <f aca="false">SUM('Physical Business'!E19,'Growth Extensions'!E12,'Growth Extensions'!E16)</f>
        <v>-9584.18728695652</v>
      </c>
      <c r="F14" s="44" t="n">
        <f aca="false">SUM('Physical Business'!F19,'Growth Extensions'!F12,'Growth Extensions'!F16)</f>
        <v>-9596.55089895652</v>
      </c>
      <c r="G14" s="44" t="n">
        <f aca="false">SUM('Physical Business'!G19,'Growth Extensions'!G12,'Growth Extensions'!G16)</f>
        <v>-9609.03814707652</v>
      </c>
      <c r="H14" s="44" t="n">
        <f aca="false">SUM('Physical Business'!H19,'Growth Extensions'!H12,'Growth Extensions'!H16)</f>
        <v>-12752.0850502864</v>
      </c>
      <c r="I14" s="44" t="n">
        <f aca="false">SUM('Physical Business'!I19,'Growth Extensions'!I12,'Growth Extensions'!I16)</f>
        <v>-12764.8232920936</v>
      </c>
      <c r="J14" s="44" t="n">
        <f aca="false">SUM('Physical Business'!J19,'Growth Extensions'!J12,'Growth Extensions'!J16)</f>
        <v>-15477.6889163189</v>
      </c>
      <c r="K14" s="44" t="n">
        <f aca="false">SUM('Physical Business'!K19,'Growth Extensions'!K12,'Growth Extensions'!K16)</f>
        <v>-15503.677477254</v>
      </c>
      <c r="L14" s="44" t="n">
        <f aca="false">SUM('Physical Business'!L19,'Growth Extensions'!L12,'Growth Extensions'!L16)</f>
        <v>-15530.1858094078</v>
      </c>
      <c r="M14" s="44" t="n">
        <f aca="false">SUM('Physical Business'!M19,'Growth Extensions'!M12,'Growth Extensions'!M16)</f>
        <v>-15557.2243082046</v>
      </c>
      <c r="N14" s="44" t="n">
        <f aca="false">SUM('Physical Business'!N19,'Growth Extensions'!N12,'Growth Extensions'!N16)</f>
        <v>-16874.3707943687</v>
      </c>
      <c r="O14" s="44" t="n">
        <f aca="false">SUM('Physical Business'!O19,'Growth Extensions'!O12,'Growth Extensions'!O16)</f>
        <v>-16903.701648517</v>
      </c>
      <c r="P14" s="44" t="n">
        <f aca="false">SUM('Physical Business'!P19,'Growth Extensions'!P12,'Growth Extensions'!P16)</f>
        <v>-16933.6071197482</v>
      </c>
      <c r="Q14" s="44" t="n">
        <f aca="false">SUM('Physical Business'!Q19,'Growth Extensions'!Q12,'Growth Extensions'!Q16)</f>
        <v>-17172.7942325779</v>
      </c>
      <c r="R14" s="44" t="n">
        <f aca="false">SUM('Physical Business'!R19,'Growth Extensions'!R12,'Growth Extensions'!R16)</f>
        <v>-17203.8832812469</v>
      </c>
      <c r="S14" s="44" t="n">
        <f aca="false">SUM('Physical Business'!S19,'Growth Extensions'!S12,'Growth Extensions'!S16)</f>
        <v>-17235.5817472772</v>
      </c>
      <c r="T14" s="44" t="n">
        <f aca="false">SUM('Physical Business'!T19,'Growth Extensions'!T12,'Growth Extensions'!T16)</f>
        <v>-17580.9451736409</v>
      </c>
      <c r="U14" s="44" t="n">
        <f aca="false">SUM('Physical Business'!U19,'Growth Extensions'!U12,'Growth Extensions'!U16)</f>
        <v>-17613.8989085851</v>
      </c>
      <c r="V14" s="44" t="n">
        <f aca="false">SUM('Physical Business'!V19,'Growth Extensions'!V12,'Growth Extensions'!V16)</f>
        <v>-18847.4989799865</v>
      </c>
      <c r="W14" s="44" t="n">
        <f aca="false">SUM('Physical Business'!W19,'Growth Extensions'!W12,'Growth Extensions'!W16)</f>
        <v>-18883.0576152384</v>
      </c>
      <c r="X14" s="44" t="n">
        <f aca="false">SUM('Physical Business'!X19,'Growth Extensions'!X12,'Growth Extensions'!X16)</f>
        <v>-18919.3274231953</v>
      </c>
      <c r="Y14" s="44" t="n">
        <f aca="false">SUM('Physical Business'!Y19,'Growth Extensions'!Y12,'Growth Extensions'!Y16)</f>
        <v>-18956.3226273114</v>
      </c>
      <c r="Z14" s="44" t="n">
        <f aca="false">SUM('Physical Business'!Z19,'Growth Extensions'!Z12,'Growth Extensions'!Z16)</f>
        <v>-19598.4035615968</v>
      </c>
      <c r="AA14" s="44" t="n">
        <f aca="false">SUM('Physical Business'!AA19,'Growth Extensions'!AA12,'Growth Extensions'!AA16)</f>
        <v>-19636.8933719591</v>
      </c>
      <c r="AB14" s="44" t="n">
        <f aca="false">SUM('Physical Business'!AB19,'Growth Extensions'!AB12,'Growth Extensions'!AB16)</f>
        <v>-19676.1529785288</v>
      </c>
      <c r="AC14" s="44" t="n">
        <f aca="false">SUM('Physical Business'!AC19,'Growth Extensions'!AC12,'Growth Extensions'!AC16)</f>
        <v>-19716.1977772298</v>
      </c>
      <c r="AD14" s="44" t="n">
        <f aca="false">SUM('Physical Business'!AD19,'Growth Extensions'!AD12,'Growth Extensions'!AD16)</f>
        <v>-19757.0434719048</v>
      </c>
      <c r="AE14" s="44" t="n">
        <f aca="false">SUM('Physical Business'!AE19,'Growth Extensions'!AE12,'Growth Extensions'!AE16)</f>
        <v>-19798.7060804733</v>
      </c>
      <c r="AF14" s="44" t="n">
        <f aca="false">SUM('Physical Business'!AF19,'Growth Extensions'!AF12,'Growth Extensions'!AF16)</f>
        <v>-19841.2019412132</v>
      </c>
      <c r="AG14" s="44" t="n">
        <f aca="false">SUM('Physical Business'!AG19,'Growth Extensions'!AG12,'Growth Extensions'!AG16)</f>
        <v>-19884.5477191679</v>
      </c>
      <c r="AH14" s="44" t="n">
        <f aca="false">SUM('Physical Business'!AH19,'Growth Extensions'!AH12,'Growth Extensions'!AH16)</f>
        <v>-21128.7604126817</v>
      </c>
      <c r="AI14" s="44" t="n">
        <f aca="false">SUM('Physical Business'!AI19,'Growth Extensions'!AI12,'Growth Extensions'!AI16)</f>
        <v>-21173.8573600658</v>
      </c>
      <c r="AJ14" s="44" t="n">
        <f aca="false">SUM('Physical Business'!AJ19,'Growth Extensions'!AJ12,'Growth Extensions'!AJ16)</f>
        <v>-21219.8562463975</v>
      </c>
      <c r="AK14" s="44" t="n">
        <f aca="false">SUM('Physical Business'!AK19,'Growth Extensions'!AK12,'Growth Extensions'!AK16)</f>
        <v>-21266.7751104559</v>
      </c>
    </row>
    <row r="15" customFormat="false" ht="15" hidden="false" customHeight="true" outlineLevel="0" collapsed="false">
      <c r="A15" s="4" t="s">
        <v>453</v>
      </c>
      <c r="B15" s="44" t="n">
        <f aca="false">-('AI Cohorts'!B32-'AI Cohorts'!B37)</f>
        <v>-0</v>
      </c>
      <c r="C15" s="44" t="n">
        <f aca="false">-('AI Cohorts'!C32-'AI Cohorts'!C37)</f>
        <v>-0</v>
      </c>
      <c r="D15" s="44" t="n">
        <f aca="false">-('AI Cohorts'!D32-'AI Cohorts'!D37)</f>
        <v>-0</v>
      </c>
      <c r="E15" s="44" t="n">
        <f aca="false">-('AI Cohorts'!E32-'AI Cohorts'!E37)</f>
        <v>-2911.01447702263</v>
      </c>
      <c r="F15" s="44" t="n">
        <f aca="false">-('AI Cohorts'!F32-'AI Cohorts'!F37)</f>
        <v>-3424.68732079152</v>
      </c>
      <c r="G15" s="44" t="n">
        <f aca="false">-('AI Cohorts'!G32-'AI Cohorts'!G37)</f>
        <v>-3897.66087351442</v>
      </c>
      <c r="H15" s="44" t="n">
        <f aca="false">-('AI Cohorts'!H32-'AI Cohorts'!H37)</f>
        <v>-6762.55888698995</v>
      </c>
      <c r="I15" s="44" t="n">
        <f aca="false">-('AI Cohorts'!I32-'AI Cohorts'!I37)</f>
        <v>-7560.01178832079</v>
      </c>
      <c r="J15" s="44" t="n">
        <f aca="false">-('AI Cohorts'!J32-'AI Cohorts'!J37)</f>
        <v>-8294.07494884981</v>
      </c>
      <c r="K15" s="44" t="n">
        <f aca="false">-('AI Cohorts'!K32-'AI Cohorts'!K37)</f>
        <v>-7986.26959843869</v>
      </c>
      <c r="L15" s="44" t="n">
        <f aca="false">-('AI Cohorts'!L32-'AI Cohorts'!L37)</f>
        <v>-8430.82388654702</v>
      </c>
      <c r="M15" s="44" t="n">
        <f aca="false">-('AI Cohorts'!M32-'AI Cohorts'!M37)</f>
        <v>-8840.69082827018</v>
      </c>
      <c r="N15" s="44" t="n">
        <f aca="false">-('AI Cohorts'!N32-'AI Cohorts'!N37)</f>
        <v>-9341.03287284884</v>
      </c>
      <c r="O15" s="44" t="n">
        <f aca="false">-('AI Cohorts'!O32-'AI Cohorts'!O37)</f>
        <v>-9711.9648992227</v>
      </c>
      <c r="P15" s="44" t="n">
        <f aca="false">-('AI Cohorts'!P32-'AI Cohorts'!P37)</f>
        <v>-10054.1530393619</v>
      </c>
      <c r="Q15" s="44" t="n">
        <f aca="false">-('AI Cohorts'!Q32-'AI Cohorts'!Q37)</f>
        <v>-11561.9983329392</v>
      </c>
      <c r="R15" s="44" t="n">
        <f aca="false">-('AI Cohorts'!R32-'AI Cohorts'!R37)</f>
        <v>-11854.0825031609</v>
      </c>
      <c r="S15" s="44" t="n">
        <f aca="false">-('AI Cohorts'!S32-'AI Cohorts'!S37)</f>
        <v>-12123.8428860778</v>
      </c>
      <c r="T15" s="44" t="n">
        <f aca="false">-('AI Cohorts'!T32-'AI Cohorts'!T37)</f>
        <v>-14727.6424439299</v>
      </c>
      <c r="U15" s="44" t="n">
        <f aca="false">-('AI Cohorts'!U32-'AI Cohorts'!U37)</f>
        <v>-15186.8515039903</v>
      </c>
      <c r="V15" s="44" t="n">
        <f aca="false">-('AI Cohorts'!V32-'AI Cohorts'!V37)</f>
        <v>-15610.4289128857</v>
      </c>
      <c r="W15" s="44" t="n">
        <f aca="false">-('AI Cohorts'!W32-'AI Cohorts'!W37)</f>
        <v>-15584.3884890249</v>
      </c>
      <c r="X15" s="44" t="n">
        <f aca="false">-('AI Cohorts'!X32-'AI Cohorts'!X37)</f>
        <v>-15945.7546752883</v>
      </c>
      <c r="Y15" s="44" t="n">
        <f aca="false">-('AI Cohorts'!Y32-'AI Cohorts'!Y37)</f>
        <v>-16279.4555644886</v>
      </c>
      <c r="Z15" s="44" t="n">
        <f aca="false">-('AI Cohorts'!Z32-'AI Cohorts'!Z37)</f>
        <v>-16639.5931234981</v>
      </c>
      <c r="AA15" s="44" t="n">
        <f aca="false">-('AI Cohorts'!AA32-'AI Cohorts'!AA37)</f>
        <v>-16924.4991790391</v>
      </c>
      <c r="AB15" s="44" t="n">
        <f aca="false">-('AI Cohorts'!AB32-'AI Cohorts'!AB37)</f>
        <v>-17187.9328905945</v>
      </c>
      <c r="AC15" s="44" t="n">
        <f aca="false">-('AI Cohorts'!AC32-'AI Cohorts'!AC37)</f>
        <v>-17968.0757603576</v>
      </c>
      <c r="AD15" s="44" t="n">
        <f aca="false">-('AI Cohorts'!AD32-'AI Cohorts'!AD37)</f>
        <v>-18193.9348758993</v>
      </c>
      <c r="AE15" s="44" t="n">
        <f aca="false">-('AI Cohorts'!AE32-'AI Cohorts'!AE37)</f>
        <v>-18403.1510933454</v>
      </c>
      <c r="AF15" s="44" t="n">
        <f aca="false">-('AI Cohorts'!AF32-'AI Cohorts'!AF37)</f>
        <v>-19544.7109832819</v>
      </c>
      <c r="AG15" s="44" t="n">
        <f aca="false">-('AI Cohorts'!AG32-'AI Cohorts'!AG37)</f>
        <v>-19724.6122902212</v>
      </c>
      <c r="AH15" s="44" t="n">
        <f aca="false">-('AI Cohorts'!AH32-'AI Cohorts'!AH37)</f>
        <v>-19891.633826827</v>
      </c>
      <c r="AI15" s="44" t="n">
        <f aca="false">-('AI Cohorts'!AI32-'AI Cohorts'!AI37)</f>
        <v>-19859.2497545896</v>
      </c>
      <c r="AJ15" s="44" t="n">
        <f aca="false">-('AI Cohorts'!AJ32-'AI Cohorts'!AJ37)</f>
        <v>-20003.9079865756</v>
      </c>
      <c r="AK15" s="44" t="n">
        <f aca="false">-('AI Cohorts'!AK32-'AI Cohorts'!AK37)</f>
        <v>-20138.6305393603</v>
      </c>
    </row>
    <row r="16" customFormat="false" ht="15" hidden="false" customHeight="true" outlineLevel="0" collapsed="false">
      <c r="A16" s="16" t="s">
        <v>15</v>
      </c>
      <c r="B16" s="50" t="n">
        <f aca="false">SUM(B12,B14:B15)</f>
        <v>12434.7826086957</v>
      </c>
      <c r="C16" s="50" t="n">
        <f aca="false">SUM(C12,C14:C15)</f>
        <v>12454.7826086957</v>
      </c>
      <c r="D16" s="50" t="n">
        <f aca="false">SUM(D12,D14:D15)</f>
        <v>12474.9826086957</v>
      </c>
      <c r="E16" s="50" t="n">
        <f aca="false">SUM(E12,E14:E15)</f>
        <v>18759.0731408035</v>
      </c>
      <c r="F16" s="50" t="n">
        <f aca="false">SUM(F12,F14:F15)</f>
        <v>19427.2243756946</v>
      </c>
      <c r="G16" s="50" t="n">
        <f aca="false">SUM(G12,G14:G15)</f>
        <v>20044.2310427415</v>
      </c>
      <c r="H16" s="50" t="n">
        <f aca="false">SUM(H12,H14:H15)</f>
        <v>28349.4401928227</v>
      </c>
      <c r="I16" s="50" t="n">
        <f aca="false">SUM(I12,I14:I15)</f>
        <v>29376.2136894929</v>
      </c>
      <c r="J16" s="50" t="n">
        <f aca="false">SUM(J12,J14:J15)</f>
        <v>33323.2227578718</v>
      </c>
      <c r="K16" s="50" t="n">
        <f aca="false">SUM(K12,K14:K15)</f>
        <v>33315.0071882704</v>
      </c>
      <c r="L16" s="50" t="n">
        <f aca="false">SUM(L12,L14:L15)</f>
        <v>33918.9650706873</v>
      </c>
      <c r="M16" s="50" t="n">
        <f aca="false">SUM(M12,M14:M15)</f>
        <v>34480.0241711228</v>
      </c>
      <c r="N16" s="50" t="n">
        <f aca="false">SUM(N12,N14:N15)</f>
        <v>37763.4141318589</v>
      </c>
      <c r="O16" s="50" t="n">
        <f aca="false">SUM(O12,O14:O15)</f>
        <v>38279.1301473991</v>
      </c>
      <c r="P16" s="50" t="n">
        <f aca="false">SUM(P12,P14:P15)</f>
        <v>38759.518345986</v>
      </c>
      <c r="Q16" s="50" t="n">
        <f aca="false">SUM(Q12,Q14:Q15)</f>
        <v>40764.681666068</v>
      </c>
      <c r="R16" s="50" t="n">
        <f aca="false">SUM(R12,R14:R15)</f>
        <v>41183.6335509543</v>
      </c>
      <c r="S16" s="50" t="n">
        <f aca="false">SUM(S12,S14:S15)</f>
        <v>41575.4122226996</v>
      </c>
      <c r="T16" s="50" t="n">
        <f aca="false">SUM(T12,T14:T15)</f>
        <v>44914.1474268789</v>
      </c>
      <c r="U16" s="50" t="n">
        <f aca="false">SUM(U12,U14:U15)</f>
        <v>45546.9714523299</v>
      </c>
      <c r="V16" s="50" t="n">
        <f aca="false">SUM(V12,V14:V15)</f>
        <v>48135.893266023</v>
      </c>
      <c r="W16" s="50" t="n">
        <f aca="false">SUM(W12,W14:W15)</f>
        <v>48263.8320413934</v>
      </c>
      <c r="X16" s="50" t="n">
        <f aca="false">SUM(X12,X14:X15)</f>
        <v>48778.4985405583</v>
      </c>
      <c r="Y16" s="50" t="n">
        <f aca="false">SUM(Y12,Y14:Y15)</f>
        <v>49259.4383280321</v>
      </c>
      <c r="Z16" s="50" t="n">
        <f aca="false">SUM(Z12,Z14:Z15)</f>
        <v>50269.3579141126</v>
      </c>
      <c r="AA16" s="50" t="n">
        <f aca="false">SUM(AA12,AA14:AA15)</f>
        <v>50691.1606986202</v>
      </c>
      <c r="AB16" s="50" t="n">
        <f aca="false">SUM(AB12,AB14:AB15)</f>
        <v>51087.1216606067</v>
      </c>
      <c r="AC16" s="50" t="n">
        <f aca="false">SUM(AC12,AC14:AC15)</f>
        <v>52003.6664204611</v>
      </c>
      <c r="AD16" s="50" t="n">
        <f aca="false">SUM(AD12,AD14:AD15)</f>
        <v>52354.72557813</v>
      </c>
      <c r="AE16" s="50" t="n">
        <f aca="false">SUM(AE12,AE14:AE15)</f>
        <v>52686.1113412252</v>
      </c>
      <c r="AF16" s="50" t="n">
        <f aca="false">SUM(AF12,AF14:AF15)</f>
        <v>53960.9057653512</v>
      </c>
      <c r="AG16" s="50" t="n">
        <f aca="false">SUM(AG12,AG14:AG15)</f>
        <v>54258.0342861414</v>
      </c>
      <c r="AH16" s="50" t="n">
        <f aca="false">SUM(AH12,AH14:AH15)</f>
        <v>56540.3179241567</v>
      </c>
      <c r="AI16" s="50" t="n">
        <f aca="false">SUM(AI12,AI14:AI15)</f>
        <v>56618.8217018233</v>
      </c>
      <c r="AJ16" s="50" t="n">
        <f aca="false">SUM(AJ12,AJ14:AJ15)</f>
        <v>56875.7110698666</v>
      </c>
      <c r="AK16" s="50" t="n">
        <f aca="false">SUM(AK12,AK14:AK15)</f>
        <v>57121.5535355639</v>
      </c>
    </row>
    <row r="17" customFormat="false" ht="15" hidden="false" customHeight="true" outlineLevel="0" collapsed="false">
      <c r="A17" s="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</row>
    <row r="18" customFormat="false" ht="15" hidden="false" customHeight="true" outlineLevel="0" collapsed="false">
      <c r="A18" s="4" t="s">
        <v>454</v>
      </c>
      <c r="B18" s="44" t="n">
        <f aca="false">'Physical Business'!B20</f>
        <v>-6000</v>
      </c>
      <c r="C18" s="44" t="n">
        <f aca="false">'Physical Business'!C20</f>
        <v>-6000</v>
      </c>
      <c r="D18" s="44" t="n">
        <f aca="false">'Physical Business'!D20</f>
        <v>-6000</v>
      </c>
      <c r="E18" s="44" t="n">
        <f aca="false">'Physical Business'!E20</f>
        <v>-8000</v>
      </c>
      <c r="F18" s="44" t="n">
        <f aca="false">'Physical Business'!F20</f>
        <v>-8000</v>
      </c>
      <c r="G18" s="44" t="n">
        <f aca="false">'Physical Business'!G20</f>
        <v>-8000</v>
      </c>
      <c r="H18" s="44" t="n">
        <f aca="false">'Physical Business'!H20</f>
        <v>-11000</v>
      </c>
      <c r="I18" s="44" t="n">
        <f aca="false">'Physical Business'!I20</f>
        <v>-11000</v>
      </c>
      <c r="J18" s="44" t="n">
        <f aca="false">'Physical Business'!J20</f>
        <v>-11000</v>
      </c>
      <c r="K18" s="44" t="n">
        <f aca="false">'Physical Business'!K20</f>
        <v>-11000</v>
      </c>
      <c r="L18" s="44" t="n">
        <f aca="false">'Physical Business'!L20</f>
        <v>-11000</v>
      </c>
      <c r="M18" s="44" t="n">
        <f aca="false">'Physical Business'!M20</f>
        <v>-11000</v>
      </c>
      <c r="N18" s="44" t="n">
        <f aca="false">'Physical Business'!N20</f>
        <v>-12000</v>
      </c>
      <c r="O18" s="44" t="n">
        <f aca="false">'Physical Business'!O20</f>
        <v>-12000</v>
      </c>
      <c r="P18" s="44" t="n">
        <f aca="false">'Physical Business'!P20</f>
        <v>-12000</v>
      </c>
      <c r="Q18" s="44" t="n">
        <f aca="false">'Physical Business'!Q20</f>
        <v>-12000</v>
      </c>
      <c r="R18" s="44" t="n">
        <f aca="false">'Physical Business'!R20</f>
        <v>-12000</v>
      </c>
      <c r="S18" s="44" t="n">
        <f aca="false">'Physical Business'!S20</f>
        <v>-12000</v>
      </c>
      <c r="T18" s="44" t="n">
        <f aca="false">'Physical Business'!T20</f>
        <v>-12000</v>
      </c>
      <c r="U18" s="44" t="n">
        <f aca="false">'Physical Business'!U20</f>
        <v>-12000</v>
      </c>
      <c r="V18" s="44" t="n">
        <f aca="false">'Physical Business'!V20</f>
        <v>-12000</v>
      </c>
      <c r="W18" s="44" t="n">
        <f aca="false">'Physical Business'!W20</f>
        <v>-12000</v>
      </c>
      <c r="X18" s="44" t="n">
        <f aca="false">'Physical Business'!X20</f>
        <v>-12000</v>
      </c>
      <c r="Y18" s="44" t="n">
        <f aca="false">'Physical Business'!Y20</f>
        <v>-12000</v>
      </c>
      <c r="Z18" s="44" t="n">
        <f aca="false">'Physical Business'!Z20</f>
        <v>-12000</v>
      </c>
      <c r="AA18" s="44" t="n">
        <f aca="false">'Physical Business'!AA20</f>
        <v>-12000</v>
      </c>
      <c r="AB18" s="44" t="n">
        <f aca="false">'Physical Business'!AB20</f>
        <v>-12000</v>
      </c>
      <c r="AC18" s="44" t="n">
        <f aca="false">'Physical Business'!AC20</f>
        <v>-12000</v>
      </c>
      <c r="AD18" s="44" t="n">
        <f aca="false">'Physical Business'!AD20</f>
        <v>-12000</v>
      </c>
      <c r="AE18" s="44" t="n">
        <f aca="false">'Physical Business'!AE20</f>
        <v>-12000</v>
      </c>
      <c r="AF18" s="44" t="n">
        <f aca="false">'Physical Business'!AF20</f>
        <v>-12000</v>
      </c>
      <c r="AG18" s="44" t="n">
        <f aca="false">'Physical Business'!AG20</f>
        <v>-12000</v>
      </c>
      <c r="AH18" s="44" t="n">
        <f aca="false">'Physical Business'!AH20</f>
        <v>-12000</v>
      </c>
      <c r="AI18" s="44" t="n">
        <f aca="false">'Physical Business'!AI20</f>
        <v>-12000</v>
      </c>
      <c r="AJ18" s="44" t="n">
        <f aca="false">'Physical Business'!AJ20</f>
        <v>-12000</v>
      </c>
      <c r="AK18" s="44" t="n">
        <f aca="false">'Physical Business'!AK20</f>
        <v>-12000</v>
      </c>
    </row>
    <row r="19" customFormat="false" ht="15" hidden="false" customHeight="true" outlineLevel="0" collapsed="false">
      <c r="A19" s="4" t="s">
        <v>370</v>
      </c>
      <c r="B19" s="44" t="n">
        <f aca="false">'AI Cohorts'!B38</f>
        <v>-0</v>
      </c>
      <c r="C19" s="44" t="n">
        <f aca="false">'AI Cohorts'!C38</f>
        <v>-0</v>
      </c>
      <c r="D19" s="44" t="n">
        <f aca="false">'AI Cohorts'!D38</f>
        <v>-0</v>
      </c>
      <c r="E19" s="44" t="n">
        <f aca="false">'AI Cohorts'!E38</f>
        <v>-0</v>
      </c>
      <c r="F19" s="44" t="n">
        <f aca="false">'AI Cohorts'!F38</f>
        <v>-0</v>
      </c>
      <c r="G19" s="44" t="n">
        <f aca="false">'AI Cohorts'!G38</f>
        <v>-0</v>
      </c>
      <c r="H19" s="44" t="n">
        <f aca="false">'AI Cohorts'!H38</f>
        <v>-4000</v>
      </c>
      <c r="I19" s="44" t="n">
        <f aca="false">'AI Cohorts'!I38</f>
        <v>-4000</v>
      </c>
      <c r="J19" s="44" t="n">
        <f aca="false">'AI Cohorts'!J38</f>
        <v>-4000</v>
      </c>
      <c r="K19" s="44" t="n">
        <f aca="false">'AI Cohorts'!K38</f>
        <v>-4000</v>
      </c>
      <c r="L19" s="44" t="n">
        <f aca="false">'AI Cohorts'!L38</f>
        <v>-4000</v>
      </c>
      <c r="M19" s="44" t="n">
        <f aca="false">'AI Cohorts'!M38</f>
        <v>-4000</v>
      </c>
      <c r="N19" s="44" t="n">
        <f aca="false">'AI Cohorts'!N38</f>
        <v>-4000</v>
      </c>
      <c r="O19" s="44" t="n">
        <f aca="false">'AI Cohorts'!O38</f>
        <v>-4000</v>
      </c>
      <c r="P19" s="44" t="n">
        <f aca="false">'AI Cohorts'!P38</f>
        <v>-4000</v>
      </c>
      <c r="Q19" s="44" t="n">
        <f aca="false">'AI Cohorts'!Q38</f>
        <v>-4000</v>
      </c>
      <c r="R19" s="44" t="n">
        <f aca="false">'AI Cohorts'!R38</f>
        <v>-4000</v>
      </c>
      <c r="S19" s="44" t="n">
        <f aca="false">'AI Cohorts'!S38</f>
        <v>-4000</v>
      </c>
      <c r="T19" s="44" t="n">
        <f aca="false">'AI Cohorts'!T38</f>
        <v>-6000</v>
      </c>
      <c r="U19" s="44" t="n">
        <f aca="false">'AI Cohorts'!U38</f>
        <v>-6000</v>
      </c>
      <c r="V19" s="44" t="n">
        <f aca="false">'AI Cohorts'!V38</f>
        <v>-6000</v>
      </c>
      <c r="W19" s="44" t="n">
        <f aca="false">'AI Cohorts'!W38</f>
        <v>-6000</v>
      </c>
      <c r="X19" s="44" t="n">
        <f aca="false">'AI Cohorts'!X38</f>
        <v>-6000</v>
      </c>
      <c r="Y19" s="44" t="n">
        <f aca="false">'AI Cohorts'!Y38</f>
        <v>-6000</v>
      </c>
      <c r="Z19" s="44" t="n">
        <f aca="false">'AI Cohorts'!Z38</f>
        <v>-6000</v>
      </c>
      <c r="AA19" s="44" t="n">
        <f aca="false">'AI Cohorts'!AA38</f>
        <v>-6000</v>
      </c>
      <c r="AB19" s="44" t="n">
        <f aca="false">'AI Cohorts'!AB38</f>
        <v>-6000</v>
      </c>
      <c r="AC19" s="44" t="n">
        <f aca="false">'AI Cohorts'!AC38</f>
        <v>-6000</v>
      </c>
      <c r="AD19" s="44" t="n">
        <f aca="false">'AI Cohorts'!AD38</f>
        <v>-6000</v>
      </c>
      <c r="AE19" s="44" t="n">
        <f aca="false">'AI Cohorts'!AE38</f>
        <v>-6000</v>
      </c>
      <c r="AF19" s="44" t="n">
        <f aca="false">'AI Cohorts'!AF38</f>
        <v>-6000</v>
      </c>
      <c r="AG19" s="44" t="n">
        <f aca="false">'AI Cohorts'!AG38</f>
        <v>-6000</v>
      </c>
      <c r="AH19" s="44" t="n">
        <f aca="false">'AI Cohorts'!AH38</f>
        <v>-6000</v>
      </c>
      <c r="AI19" s="44" t="n">
        <f aca="false">'AI Cohorts'!AI38</f>
        <v>-6000</v>
      </c>
      <c r="AJ19" s="44" t="n">
        <f aca="false">'AI Cohorts'!AJ38</f>
        <v>-6000</v>
      </c>
      <c r="AK19" s="44" t="n">
        <f aca="false">'AI Cohorts'!AK38</f>
        <v>-6000</v>
      </c>
    </row>
    <row r="20" customFormat="false" ht="15" hidden="false" customHeight="true" outlineLevel="0" collapsed="false">
      <c r="A20" s="16" t="s">
        <v>455</v>
      </c>
      <c r="B20" s="50" t="n">
        <f aca="false">SUM(B16,B18:B19)</f>
        <v>6434.78260869565</v>
      </c>
      <c r="C20" s="50" t="n">
        <f aca="false">SUM(C16,C18:C19)</f>
        <v>6454.78260869565</v>
      </c>
      <c r="D20" s="50" t="n">
        <f aca="false">SUM(D16,D18:D19)</f>
        <v>6474.98260869565</v>
      </c>
      <c r="E20" s="50" t="n">
        <f aca="false">SUM(E16,E18:E19)</f>
        <v>10759.0731408035</v>
      </c>
      <c r="F20" s="50" t="n">
        <f aca="false">SUM(F16,F18:F19)</f>
        <v>11427.2243756946</v>
      </c>
      <c r="G20" s="50" t="n">
        <f aca="false">SUM(G16,G18:G19)</f>
        <v>12044.2310427415</v>
      </c>
      <c r="H20" s="50" t="n">
        <f aca="false">SUM(H16,H18:H19)</f>
        <v>13349.4401928227</v>
      </c>
      <c r="I20" s="50" t="n">
        <f aca="false">SUM(I16,I18:I19)</f>
        <v>14376.2136894929</v>
      </c>
      <c r="J20" s="50" t="n">
        <f aca="false">SUM(J16,J18:J19)</f>
        <v>18323.2227578718</v>
      </c>
      <c r="K20" s="50" t="n">
        <f aca="false">SUM(K16,K18:K19)</f>
        <v>18315.0071882704</v>
      </c>
      <c r="L20" s="50" t="n">
        <f aca="false">SUM(L16,L18:L19)</f>
        <v>18918.9650706873</v>
      </c>
      <c r="M20" s="50" t="n">
        <f aca="false">SUM(M16,M18:M19)</f>
        <v>19480.0241711228</v>
      </c>
      <c r="N20" s="50" t="n">
        <f aca="false">SUM(N16,N18:N19)</f>
        <v>21763.4141318589</v>
      </c>
      <c r="O20" s="50" t="n">
        <f aca="false">SUM(O16,O18:O19)</f>
        <v>22279.1301473991</v>
      </c>
      <c r="P20" s="50" t="n">
        <f aca="false">SUM(P16,P18:P19)</f>
        <v>22759.518345986</v>
      </c>
      <c r="Q20" s="50" t="n">
        <f aca="false">SUM(Q16,Q18:Q19)</f>
        <v>24764.681666068</v>
      </c>
      <c r="R20" s="50" t="n">
        <f aca="false">SUM(R16,R18:R19)</f>
        <v>25183.6335509543</v>
      </c>
      <c r="S20" s="50" t="n">
        <f aca="false">SUM(S16,S18:S19)</f>
        <v>25575.4122226996</v>
      </c>
      <c r="T20" s="50" t="n">
        <f aca="false">SUM(T16,T18:T19)</f>
        <v>26914.1474268789</v>
      </c>
      <c r="U20" s="50" t="n">
        <f aca="false">SUM(U16,U18:U19)</f>
        <v>27546.9714523299</v>
      </c>
      <c r="V20" s="50" t="n">
        <f aca="false">SUM(V16,V18:V19)</f>
        <v>30135.893266023</v>
      </c>
      <c r="W20" s="50" t="n">
        <f aca="false">SUM(W16,W18:W19)</f>
        <v>30263.8320413934</v>
      </c>
      <c r="X20" s="50" t="n">
        <f aca="false">SUM(X16,X18:X19)</f>
        <v>30778.4985405583</v>
      </c>
      <c r="Y20" s="50" t="n">
        <f aca="false">SUM(Y16,Y18:Y19)</f>
        <v>31259.4383280321</v>
      </c>
      <c r="Z20" s="50" t="n">
        <f aca="false">SUM(Z16,Z18:Z19)</f>
        <v>32269.3579141126</v>
      </c>
      <c r="AA20" s="50" t="n">
        <f aca="false">SUM(AA16,AA18:AA19)</f>
        <v>32691.1606986202</v>
      </c>
      <c r="AB20" s="50" t="n">
        <f aca="false">SUM(AB16,AB18:AB19)</f>
        <v>33087.1216606067</v>
      </c>
      <c r="AC20" s="50" t="n">
        <f aca="false">SUM(AC16,AC18:AC19)</f>
        <v>34003.6664204611</v>
      </c>
      <c r="AD20" s="50" t="n">
        <f aca="false">SUM(AD16,AD18:AD19)</f>
        <v>34354.72557813</v>
      </c>
      <c r="AE20" s="50" t="n">
        <f aca="false">SUM(AE16,AE18:AE19)</f>
        <v>34686.1113412252</v>
      </c>
      <c r="AF20" s="50" t="n">
        <f aca="false">SUM(AF16,AF18:AF19)</f>
        <v>35960.9057653512</v>
      </c>
      <c r="AG20" s="50" t="n">
        <f aca="false">SUM(AG16,AG18:AG19)</f>
        <v>36258.0342861414</v>
      </c>
      <c r="AH20" s="50" t="n">
        <f aca="false">SUM(AH16,AH18:AH19)</f>
        <v>38540.3179241567</v>
      </c>
      <c r="AI20" s="50" t="n">
        <f aca="false">SUM(AI16,AI18:AI19)</f>
        <v>38618.8217018233</v>
      </c>
      <c r="AJ20" s="50" t="n">
        <f aca="false">SUM(AJ16,AJ18:AJ19)</f>
        <v>38875.7110698666</v>
      </c>
      <c r="AK20" s="50" t="n">
        <f aca="false">SUM(AK16,AK18:AK19)</f>
        <v>39121.5535355639</v>
      </c>
    </row>
    <row r="21" customFormat="false" ht="15" hidden="false" customHeight="true" outlineLevel="0" collapsed="false">
      <c r="A21" s="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</row>
    <row r="22" customFormat="false" ht="15" hidden="false" customHeight="true" outlineLevel="0" collapsed="false">
      <c r="A22" s="4" t="s">
        <v>456</v>
      </c>
      <c r="B22" s="44" t="n">
        <f aca="false">'Team &amp; Opex'!B13</f>
        <v>-10000.000000425</v>
      </c>
      <c r="C22" s="44" t="n">
        <f aca="false">'Team &amp; Opex'!C13</f>
        <v>-10000.000000425</v>
      </c>
      <c r="D22" s="44" t="n">
        <f aca="false">'Team &amp; Opex'!D13</f>
        <v>-10000.000000425</v>
      </c>
      <c r="E22" s="44" t="n">
        <f aca="false">'Team &amp; Opex'!E13</f>
        <v>-13000</v>
      </c>
      <c r="F22" s="44" t="n">
        <f aca="false">'Team &amp; Opex'!F13</f>
        <v>-13000</v>
      </c>
      <c r="G22" s="44" t="n">
        <f aca="false">'Team &amp; Opex'!G13</f>
        <v>-13000</v>
      </c>
      <c r="H22" s="44" t="n">
        <f aca="false">'Team &amp; Opex'!H13</f>
        <v>-13000</v>
      </c>
      <c r="I22" s="44" t="n">
        <f aca="false">'Team &amp; Opex'!I13</f>
        <v>-13000</v>
      </c>
      <c r="J22" s="44" t="n">
        <f aca="false">'Team &amp; Opex'!J13</f>
        <v>-13000</v>
      </c>
      <c r="K22" s="44" t="n">
        <f aca="false">'Team &amp; Opex'!K13</f>
        <v>-13000</v>
      </c>
      <c r="L22" s="44" t="n">
        <f aca="false">'Team &amp; Opex'!L13</f>
        <v>-13000</v>
      </c>
      <c r="M22" s="44" t="n">
        <f aca="false">'Team &amp; Opex'!M13</f>
        <v>-13000</v>
      </c>
      <c r="N22" s="44" t="n">
        <f aca="false">'Team &amp; Opex'!N13</f>
        <v>-13000</v>
      </c>
      <c r="O22" s="44" t="n">
        <f aca="false">'Team &amp; Opex'!O13</f>
        <v>-13000</v>
      </c>
      <c r="P22" s="44" t="n">
        <f aca="false">'Team &amp; Opex'!P13</f>
        <v>-13000</v>
      </c>
      <c r="Q22" s="44" t="n">
        <f aca="false">'Team &amp; Opex'!Q13</f>
        <v>-13000</v>
      </c>
      <c r="R22" s="44" t="n">
        <f aca="false">'Team &amp; Opex'!R13</f>
        <v>-13000</v>
      </c>
      <c r="S22" s="44" t="n">
        <f aca="false">'Team &amp; Opex'!S13</f>
        <v>-13000</v>
      </c>
      <c r="T22" s="44" t="n">
        <f aca="false">'Team &amp; Opex'!T13</f>
        <v>-13000</v>
      </c>
      <c r="U22" s="44" t="n">
        <f aca="false">'Team &amp; Opex'!U13</f>
        <v>-13000</v>
      </c>
      <c r="V22" s="44" t="n">
        <f aca="false">'Team &amp; Opex'!V13</f>
        <v>-13000</v>
      </c>
      <c r="W22" s="44" t="n">
        <f aca="false">'Team &amp; Opex'!W13</f>
        <v>-13000</v>
      </c>
      <c r="X22" s="44" t="n">
        <f aca="false">'Team &amp; Opex'!X13</f>
        <v>-13000</v>
      </c>
      <c r="Y22" s="44" t="n">
        <f aca="false">'Team &amp; Opex'!Y13</f>
        <v>-13000</v>
      </c>
      <c r="Z22" s="44" t="n">
        <f aca="false">'Team &amp; Opex'!Z13</f>
        <v>-13000</v>
      </c>
      <c r="AA22" s="44" t="n">
        <f aca="false">'Team &amp; Opex'!AA13</f>
        <v>-13000</v>
      </c>
      <c r="AB22" s="44" t="n">
        <f aca="false">'Team &amp; Opex'!AB13</f>
        <v>-13000</v>
      </c>
      <c r="AC22" s="44" t="n">
        <f aca="false">'Team &amp; Opex'!AC13</f>
        <v>-13000</v>
      </c>
      <c r="AD22" s="44" t="n">
        <f aca="false">'Team &amp; Opex'!AD13</f>
        <v>-13000</v>
      </c>
      <c r="AE22" s="44" t="n">
        <f aca="false">'Team &amp; Opex'!AE13</f>
        <v>-13000</v>
      </c>
      <c r="AF22" s="44" t="n">
        <f aca="false">'Team &amp; Opex'!AF13</f>
        <v>-13000</v>
      </c>
      <c r="AG22" s="44" t="n">
        <f aca="false">'Team &amp; Opex'!AG13</f>
        <v>-13000</v>
      </c>
      <c r="AH22" s="44" t="n">
        <f aca="false">'Team &amp; Opex'!AH13</f>
        <v>-13000</v>
      </c>
      <c r="AI22" s="44" t="n">
        <f aca="false">'Team &amp; Opex'!AI13</f>
        <v>-13000</v>
      </c>
      <c r="AJ22" s="44" t="n">
        <f aca="false">'Team &amp; Opex'!AJ13</f>
        <v>-13000</v>
      </c>
      <c r="AK22" s="44" t="n">
        <f aca="false">'Team &amp; Opex'!AK13</f>
        <v>-13000</v>
      </c>
    </row>
    <row r="23" customFormat="false" ht="15" hidden="false" customHeight="true" outlineLevel="0" collapsed="false">
      <c r="A23" s="14" t="s">
        <v>17</v>
      </c>
      <c r="B23" s="57" t="n">
        <f aca="false">SUM(B20,B22)</f>
        <v>-3565.21739172935</v>
      </c>
      <c r="C23" s="57" t="n">
        <f aca="false">SUM(C20,C22)</f>
        <v>-3545.21739172935</v>
      </c>
      <c r="D23" s="57" t="n">
        <f aca="false">SUM(D20,D22)</f>
        <v>-3525.01739172935</v>
      </c>
      <c r="E23" s="57" t="n">
        <f aca="false">SUM(E20,E22)</f>
        <v>-2240.92685919654</v>
      </c>
      <c r="F23" s="57" t="n">
        <f aca="false">SUM(F20,F22)</f>
        <v>-1572.77562430544</v>
      </c>
      <c r="G23" s="57" t="n">
        <f aca="false">SUM(G20,G22)</f>
        <v>-955.768957258537</v>
      </c>
      <c r="H23" s="57" t="n">
        <f aca="false">SUM(H20,H22)</f>
        <v>349.440192822709</v>
      </c>
      <c r="I23" s="57" t="n">
        <f aca="false">SUM(I20,I22)</f>
        <v>1376.21368949291</v>
      </c>
      <c r="J23" s="57" t="n">
        <f aca="false">SUM(J20,J22)</f>
        <v>5323.22275787182</v>
      </c>
      <c r="K23" s="57" t="n">
        <f aca="false">SUM(K20,K22)</f>
        <v>5315.00718827043</v>
      </c>
      <c r="L23" s="57" t="n">
        <f aca="false">SUM(L20,L22)</f>
        <v>5918.96507068731</v>
      </c>
      <c r="M23" s="57" t="n">
        <f aca="false">SUM(M20,M22)</f>
        <v>6480.02417112278</v>
      </c>
      <c r="N23" s="57" t="n">
        <f aca="false">SUM(N20,N22)</f>
        <v>8763.41413185885</v>
      </c>
      <c r="O23" s="57" t="n">
        <f aca="false">SUM(O20,O22)</f>
        <v>9279.13014739913</v>
      </c>
      <c r="P23" s="57" t="n">
        <f aca="false">SUM(P20,P22)</f>
        <v>9759.51834598596</v>
      </c>
      <c r="Q23" s="57" t="n">
        <f aca="false">SUM(Q20,Q22)</f>
        <v>11764.681666068</v>
      </c>
      <c r="R23" s="57" t="n">
        <f aca="false">SUM(R20,R22)</f>
        <v>12183.6335509543</v>
      </c>
      <c r="S23" s="57" t="n">
        <f aca="false">SUM(S20,S22)</f>
        <v>12575.4122226996</v>
      </c>
      <c r="T23" s="57" t="n">
        <f aca="false">SUM(T20,T22)</f>
        <v>13914.1474268789</v>
      </c>
      <c r="U23" s="57" t="n">
        <f aca="false">SUM(U20,U22)</f>
        <v>14546.9714523299</v>
      </c>
      <c r="V23" s="57" t="n">
        <f aca="false">SUM(V20,V22)</f>
        <v>17135.893266023</v>
      </c>
      <c r="W23" s="57" t="n">
        <f aca="false">SUM(W20,W22)</f>
        <v>17263.8320413934</v>
      </c>
      <c r="X23" s="57" t="n">
        <f aca="false">SUM(X20,X22)</f>
        <v>17778.4985405583</v>
      </c>
      <c r="Y23" s="57" t="n">
        <f aca="false">SUM(Y20,Y22)</f>
        <v>18259.4383280321</v>
      </c>
      <c r="Z23" s="57" t="n">
        <f aca="false">SUM(Z20,Z22)</f>
        <v>19269.3579141126</v>
      </c>
      <c r="AA23" s="57" t="n">
        <f aca="false">SUM(AA20,AA22)</f>
        <v>19691.1606986202</v>
      </c>
      <c r="AB23" s="57" t="n">
        <f aca="false">SUM(AB20,AB22)</f>
        <v>20087.1216606067</v>
      </c>
      <c r="AC23" s="57" t="n">
        <f aca="false">SUM(AC20,AC22)</f>
        <v>21003.6664204611</v>
      </c>
      <c r="AD23" s="57" t="n">
        <f aca="false">SUM(AD20,AD22)</f>
        <v>21354.72557813</v>
      </c>
      <c r="AE23" s="57" t="n">
        <f aca="false">SUM(AE20,AE22)</f>
        <v>21686.1113412252</v>
      </c>
      <c r="AF23" s="57" t="n">
        <f aca="false">SUM(AF20,AF22)</f>
        <v>22960.9057653512</v>
      </c>
      <c r="AG23" s="57" t="n">
        <f aca="false">SUM(AG20,AG22)</f>
        <v>23258.0342861414</v>
      </c>
      <c r="AH23" s="57" t="n">
        <f aca="false">SUM(AH20,AH22)</f>
        <v>25540.3179241567</v>
      </c>
      <c r="AI23" s="57" t="n">
        <f aca="false">SUM(AI20,AI22)</f>
        <v>25618.8217018233</v>
      </c>
      <c r="AJ23" s="57" t="n">
        <f aca="false">SUM(AJ20,AJ22)</f>
        <v>25875.7110698666</v>
      </c>
      <c r="AK23" s="57" t="n">
        <f aca="false">SUM(AK20,AK22)</f>
        <v>26121.5535355639</v>
      </c>
    </row>
    <row r="24" customFormat="false" ht="15" hidden="false" customHeight="true" outlineLevel="0" collapsed="false">
      <c r="A24" s="14" t="s">
        <v>457</v>
      </c>
      <c r="B24" s="58" t="n">
        <f aca="false">IF(B12=0,0,B23/B12)</f>
        <v>-0.179195804217166</v>
      </c>
      <c r="C24" s="58" t="n">
        <f aca="false">IF(C12=0,0,C23/C12)</f>
        <v>-0.177904419486523</v>
      </c>
      <c r="D24" s="58" t="n">
        <f aca="false">IF(D12=0,0,D23/D12)</f>
        <v>-0.176604323944721</v>
      </c>
      <c r="E24" s="58" t="n">
        <f aca="false">IF(E12=0,0,E23/E12)</f>
        <v>-0.0716998511731153</v>
      </c>
      <c r="F24" s="58" t="n">
        <f aca="false">IF(F12=0,0,F23/F12)</f>
        <v>-0.0484699581583977</v>
      </c>
      <c r="G24" s="58" t="n">
        <f aca="false">IF(G12=0,0,G23/G12)</f>
        <v>-0.0284871076734499</v>
      </c>
      <c r="H24" s="58" t="n">
        <f aca="false">IF(H12=0,0,H23/H12)</f>
        <v>0.00730067647116986</v>
      </c>
      <c r="I24" s="58" t="n">
        <f aca="false">IF(I12=0,0,I23/I12)</f>
        <v>0.0276898319764667</v>
      </c>
      <c r="J24" s="58" t="n">
        <f aca="false">IF(J12=0,0,J23/J12)</f>
        <v>0.0932345039857431</v>
      </c>
      <c r="K24" s="58" t="n">
        <f aca="false">IF(K12=0,0,K23/K12)</f>
        <v>0.0935659091207517</v>
      </c>
      <c r="L24" s="58" t="n">
        <f aca="false">IF(L12=0,0,L23/L12)</f>
        <v>0.102262744490666</v>
      </c>
      <c r="M24" s="58" t="n">
        <f aca="false">IF(M12=0,0,M23/M12)</f>
        <v>0.110058610191315</v>
      </c>
      <c r="N24" s="58" t="n">
        <f aca="false">IF(N12=0,0,N23/N12)</f>
        <v>0.136973680248049</v>
      </c>
      <c r="O24" s="58" t="n">
        <f aca="false">IF(O12=0,0,O23/O12)</f>
        <v>0.142987275096806</v>
      </c>
      <c r="P24" s="58" t="n">
        <f aca="false">IF(P12=0,0,P23/P12)</f>
        <v>0.148439883260407</v>
      </c>
      <c r="Q24" s="58" t="n">
        <f aca="false">IF(Q12=0,0,Q23/Q12)</f>
        <v>0.169277275780043</v>
      </c>
      <c r="R24" s="58" t="n">
        <f aca="false">IF(R12=0,0,R23/R12)</f>
        <v>0.173453248021655</v>
      </c>
      <c r="S24" s="58" t="n">
        <f aca="false">IF(S12=0,0,S23/S12)</f>
        <v>0.177281189047046</v>
      </c>
      <c r="T24" s="58" t="n">
        <f aca="false">IF(T12=0,0,T23/T12)</f>
        <v>0.180182007524984</v>
      </c>
      <c r="U24" s="58" t="n">
        <f aca="false">IF(U12=0,0,U23/U12)</f>
        <v>0.185671913695375</v>
      </c>
      <c r="V24" s="58" t="n">
        <f aca="false">IF(V12=0,0,V23/V12)</f>
        <v>0.207471854741491</v>
      </c>
      <c r="W24" s="58" t="n">
        <f aca="false">IF(W12=0,0,W23/W12)</f>
        <v>0.208673580637769</v>
      </c>
      <c r="X24" s="58" t="n">
        <f aca="false">IF(X12=0,0,X23/X12)</f>
        <v>0.21255066323954</v>
      </c>
      <c r="Y24" s="58" t="n">
        <f aca="false">IF(Y12=0,0,Y23/Y12)</f>
        <v>0.21610026082064</v>
      </c>
      <c r="Z24" s="58" t="n">
        <f aca="false">IF(Z12=0,0,Z23/Z12)</f>
        <v>0.22274820451265</v>
      </c>
      <c r="AA24" s="58" t="n">
        <f aca="false">IF(AA12=0,0,AA23/AA12)</f>
        <v>0.225680051359487</v>
      </c>
      <c r="AB24" s="58" t="n">
        <f aca="false">IF(AB12=0,0,AB23/AB12)</f>
        <v>0.228389378893027</v>
      </c>
      <c r="AC24" s="58" t="n">
        <f aca="false">IF(AC12=0,0,AC23/AC12)</f>
        <v>0.234186072623427</v>
      </c>
      <c r="AD24" s="58" t="n">
        <f aca="false">IF(AD12=0,0,AD23/AD12)</f>
        <v>0.23647150345724</v>
      </c>
      <c r="AE24" s="58" t="n">
        <f aca="false">IF(AE12=0,0,AE23/AE12)</f>
        <v>0.23860266320768</v>
      </c>
      <c r="AF24" s="58" t="n">
        <f aca="false">IF(AF12=0,0,AF23/AF12)</f>
        <v>0.245974164814775</v>
      </c>
      <c r="AG24" s="58" t="n">
        <f aca="false">IF(AG12=0,0,AG23/AG12)</f>
        <v>0.247775961140545</v>
      </c>
      <c r="AH24" s="58" t="n">
        <f aca="false">IF(AH12=0,0,AH23/AH12)</f>
        <v>0.261788965637222</v>
      </c>
      <c r="AI24" s="58" t="n">
        <f aca="false">IF(AI12=0,0,AI23/AI12)</f>
        <v>0.262348342857311</v>
      </c>
      <c r="AJ24" s="58" t="n">
        <f aca="false">IF(AJ12=0,0,AJ23/AJ12)</f>
        <v>0.263770127108086</v>
      </c>
      <c r="AK24" s="58" t="n">
        <f aca="false">IF(AK12=0,0,AK23/AK12)</f>
        <v>0.2651208740383</v>
      </c>
    </row>
    <row r="25" customFormat="false" ht="15" hidden="false" customHeight="true" outlineLevel="0" collapsed="false">
      <c r="A25" s="4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</row>
    <row r="26" customFormat="false" ht="15" hidden="false" customHeight="true" outlineLevel="0" collapsed="false">
      <c r="A26" s="4" t="s">
        <v>458</v>
      </c>
      <c r="B26" s="44" t="n">
        <f aca="false">SUM('Team &amp; Opex'!B18,'Growth Extensions'!B19)</f>
        <v>-14166.6666666667</v>
      </c>
      <c r="C26" s="44" t="n">
        <f aca="false">SUM('Team &amp; Opex'!C18,'Growth Extensions'!C19)</f>
        <v>-14166.6666666667</v>
      </c>
      <c r="D26" s="44" t="n">
        <f aca="false">SUM('Team &amp; Opex'!D18,'Growth Extensions'!D19)</f>
        <v>-16666.6666666667</v>
      </c>
      <c r="E26" s="44" t="n">
        <f aca="false">SUM('Team &amp; Opex'!E18,'Growth Extensions'!E19)</f>
        <v>-16666.6666666667</v>
      </c>
      <c r="F26" s="44" t="n">
        <f aca="false">SUM('Team &amp; Opex'!F18,'Growth Extensions'!F19)</f>
        <v>-16666.6666666667</v>
      </c>
      <c r="G26" s="44" t="n">
        <f aca="false">SUM('Team &amp; Opex'!G18,'Growth Extensions'!G19)</f>
        <v>-16666.6666666667</v>
      </c>
      <c r="H26" s="44" t="n">
        <f aca="false">SUM('Team &amp; Opex'!H18,'Growth Extensions'!H19)</f>
        <v>-2500</v>
      </c>
      <c r="I26" s="44" t="n">
        <f aca="false">SUM('Team &amp; Opex'!I18,'Growth Extensions'!I19)</f>
        <v>-2500</v>
      </c>
      <c r="J26" s="44" t="n">
        <f aca="false">SUM('Team &amp; Opex'!J18,'Growth Extensions'!J19)</f>
        <v>0</v>
      </c>
      <c r="K26" s="44" t="n">
        <f aca="false">SUM('Team &amp; Opex'!K18,'Growth Extensions'!K19)</f>
        <v>0</v>
      </c>
      <c r="L26" s="44" t="n">
        <f aca="false">SUM('Team &amp; Opex'!L18,'Growth Extensions'!L19)</f>
        <v>0</v>
      </c>
      <c r="M26" s="44" t="n">
        <f aca="false">SUM('Team &amp; Opex'!M18,'Growth Extensions'!M19)</f>
        <v>0</v>
      </c>
      <c r="N26" s="44" t="n">
        <f aca="false">SUM('Team &amp; Opex'!N18,'Growth Extensions'!N19)</f>
        <v>0</v>
      </c>
      <c r="O26" s="44" t="n">
        <f aca="false">SUM('Team &amp; Opex'!O18,'Growth Extensions'!O19)</f>
        <v>0</v>
      </c>
      <c r="P26" s="44" t="n">
        <f aca="false">SUM('Team &amp; Opex'!P18,'Growth Extensions'!P19)</f>
        <v>-2500</v>
      </c>
      <c r="Q26" s="44" t="n">
        <f aca="false">SUM('Team &amp; Opex'!Q18,'Growth Extensions'!Q19)</f>
        <v>-2500</v>
      </c>
      <c r="R26" s="44" t="n">
        <f aca="false">SUM('Team &amp; Opex'!R18,'Growth Extensions'!R19)</f>
        <v>-2500</v>
      </c>
      <c r="S26" s="44" t="n">
        <f aca="false">SUM('Team &amp; Opex'!S18,'Growth Extensions'!S19)</f>
        <v>-2500</v>
      </c>
      <c r="T26" s="44" t="n">
        <f aca="false">SUM('Team &amp; Opex'!T18,'Growth Extensions'!T19)</f>
        <v>-2500</v>
      </c>
      <c r="U26" s="44" t="n">
        <f aca="false">SUM('Team &amp; Opex'!U18,'Growth Extensions'!U19)</f>
        <v>-2500</v>
      </c>
      <c r="V26" s="44" t="n">
        <f aca="false">SUM('Team &amp; Opex'!V18,'Growth Extensions'!V19)</f>
        <v>0</v>
      </c>
      <c r="W26" s="44" t="n">
        <f aca="false">SUM('Team &amp; Opex'!W18,'Growth Extensions'!W19)</f>
        <v>0</v>
      </c>
      <c r="X26" s="44" t="n">
        <f aca="false">SUM('Team &amp; Opex'!X18,'Growth Extensions'!X19)</f>
        <v>0</v>
      </c>
      <c r="Y26" s="44" t="n">
        <f aca="false">SUM('Team &amp; Opex'!Y18,'Growth Extensions'!Y19)</f>
        <v>0</v>
      </c>
      <c r="Z26" s="44" t="n">
        <f aca="false">SUM('Team &amp; Opex'!Z18,'Growth Extensions'!Z19)</f>
        <v>0</v>
      </c>
      <c r="AA26" s="44" t="n">
        <f aca="false">SUM('Team &amp; Opex'!AA18,'Growth Extensions'!AA19)</f>
        <v>0</v>
      </c>
      <c r="AB26" s="44" t="n">
        <f aca="false">SUM('Team &amp; Opex'!AB18,'Growth Extensions'!AB19)</f>
        <v>-2500</v>
      </c>
      <c r="AC26" s="44" t="n">
        <f aca="false">SUM('Team &amp; Opex'!AC18,'Growth Extensions'!AC19)</f>
        <v>-2500</v>
      </c>
      <c r="AD26" s="44" t="n">
        <f aca="false">SUM('Team &amp; Opex'!AD18,'Growth Extensions'!AD19)</f>
        <v>-2500</v>
      </c>
      <c r="AE26" s="44" t="n">
        <f aca="false">SUM('Team &amp; Opex'!AE18,'Growth Extensions'!AE19)</f>
        <v>-2500</v>
      </c>
      <c r="AF26" s="44" t="n">
        <f aca="false">SUM('Team &amp; Opex'!AF18,'Growth Extensions'!AF19)</f>
        <v>-2500</v>
      </c>
      <c r="AG26" s="44" t="n">
        <f aca="false">SUM('Team &amp; Opex'!AG18,'Growth Extensions'!AG19)</f>
        <v>-2500</v>
      </c>
      <c r="AH26" s="44" t="n">
        <f aca="false">SUM('Team &amp; Opex'!AH18,'Growth Extensions'!AH19)</f>
        <v>0</v>
      </c>
      <c r="AI26" s="44" t="n">
        <f aca="false">SUM('Team &amp; Opex'!AI18,'Growth Extensions'!AI19)</f>
        <v>0</v>
      </c>
      <c r="AJ26" s="44" t="n">
        <f aca="false">SUM('Team &amp; Opex'!AJ18,'Growth Extensions'!AJ19)</f>
        <v>0</v>
      </c>
      <c r="AK26" s="44" t="n">
        <f aca="false">SUM('Team &amp; Opex'!AK18,'Growth Extensions'!AK19)</f>
        <v>0</v>
      </c>
    </row>
    <row r="27" customFormat="false" ht="15" hidden="false" customHeight="true" outlineLevel="0" collapsed="false">
      <c r="A27" s="53" t="s">
        <v>19</v>
      </c>
      <c r="B27" s="54" t="n">
        <f aca="false">SUM(B23,B26)</f>
        <v>-17731.884058396</v>
      </c>
      <c r="C27" s="54" t="n">
        <f aca="false">SUM(C23,C26)</f>
        <v>-17711.884058396</v>
      </c>
      <c r="D27" s="54" t="n">
        <f aca="false">SUM(D23,D26)</f>
        <v>-20191.684058396</v>
      </c>
      <c r="E27" s="54" t="n">
        <f aca="false">SUM(E23,E26)</f>
        <v>-18907.5935258632</v>
      </c>
      <c r="F27" s="54" t="n">
        <f aca="false">SUM(F23,F26)</f>
        <v>-18239.4422909721</v>
      </c>
      <c r="G27" s="54" t="n">
        <f aca="false">SUM(G23,G26)</f>
        <v>-17622.4356239252</v>
      </c>
      <c r="H27" s="54" t="n">
        <f aca="false">SUM(H23,H26)</f>
        <v>-2150.55980717729</v>
      </c>
      <c r="I27" s="54" t="n">
        <f aca="false">SUM(I23,I26)</f>
        <v>-1123.78631050709</v>
      </c>
      <c r="J27" s="54" t="n">
        <f aca="false">SUM(J23,J26)</f>
        <v>5323.22275787182</v>
      </c>
      <c r="K27" s="54" t="n">
        <f aca="false">SUM(K23,K26)</f>
        <v>5315.00718827043</v>
      </c>
      <c r="L27" s="54" t="n">
        <f aca="false">SUM(L23,L26)</f>
        <v>5918.96507068731</v>
      </c>
      <c r="M27" s="54" t="n">
        <f aca="false">SUM(M23,M26)</f>
        <v>6480.02417112278</v>
      </c>
      <c r="N27" s="54" t="n">
        <f aca="false">SUM(N23,N26)</f>
        <v>8763.41413185885</v>
      </c>
      <c r="O27" s="54" t="n">
        <f aca="false">SUM(O23,O26)</f>
        <v>9279.13014739913</v>
      </c>
      <c r="P27" s="54" t="n">
        <f aca="false">SUM(P23,P26)</f>
        <v>7259.51834598595</v>
      </c>
      <c r="Q27" s="54" t="n">
        <f aca="false">SUM(Q23,Q26)</f>
        <v>9264.68166606804</v>
      </c>
      <c r="R27" s="54" t="n">
        <f aca="false">SUM(R23,R26)</f>
        <v>9683.63355095429</v>
      </c>
      <c r="S27" s="54" t="n">
        <f aca="false">SUM(S23,S26)</f>
        <v>10075.4122226996</v>
      </c>
      <c r="T27" s="54" t="n">
        <f aca="false">SUM(T23,T26)</f>
        <v>11414.1474268789</v>
      </c>
      <c r="U27" s="54" t="n">
        <f aca="false">SUM(U23,U26)</f>
        <v>12046.9714523299</v>
      </c>
      <c r="V27" s="54" t="n">
        <f aca="false">SUM(V23,V26)</f>
        <v>17135.893266023</v>
      </c>
      <c r="W27" s="54" t="n">
        <f aca="false">SUM(W23,W26)</f>
        <v>17263.8320413934</v>
      </c>
      <c r="X27" s="54" t="n">
        <f aca="false">SUM(X23,X26)</f>
        <v>17778.4985405583</v>
      </c>
      <c r="Y27" s="54" t="n">
        <f aca="false">SUM(Y23,Y26)</f>
        <v>18259.4383280321</v>
      </c>
      <c r="Z27" s="54" t="n">
        <f aca="false">SUM(Z23,Z26)</f>
        <v>19269.3579141126</v>
      </c>
      <c r="AA27" s="54" t="n">
        <f aca="false">SUM(AA23,AA26)</f>
        <v>19691.1606986202</v>
      </c>
      <c r="AB27" s="54" t="n">
        <f aca="false">SUM(AB23,AB26)</f>
        <v>17587.1216606067</v>
      </c>
      <c r="AC27" s="54" t="n">
        <f aca="false">SUM(AC23,AC26)</f>
        <v>18503.6664204611</v>
      </c>
      <c r="AD27" s="54" t="n">
        <f aca="false">SUM(AD23,AD26)</f>
        <v>18854.72557813</v>
      </c>
      <c r="AE27" s="54" t="n">
        <f aca="false">SUM(AE23,AE26)</f>
        <v>19186.1113412252</v>
      </c>
      <c r="AF27" s="54" t="n">
        <f aca="false">SUM(AF23,AF26)</f>
        <v>20460.9057653512</v>
      </c>
      <c r="AG27" s="54" t="n">
        <f aca="false">SUM(AG23,AG26)</f>
        <v>20758.0342861414</v>
      </c>
      <c r="AH27" s="54" t="n">
        <f aca="false">SUM(AH23,AH26)</f>
        <v>25540.3179241567</v>
      </c>
      <c r="AI27" s="54" t="n">
        <f aca="false">SUM(AI23,AI26)</f>
        <v>25618.8217018233</v>
      </c>
      <c r="AJ27" s="54" t="n">
        <f aca="false">SUM(AJ23,AJ26)</f>
        <v>25875.7110698666</v>
      </c>
      <c r="AK27" s="54" t="n">
        <f aca="false">SUM(AK23,AK26)</f>
        <v>26121.5535355639</v>
      </c>
    </row>
    <row r="28" customFormat="false" ht="1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customFormat="false" ht="15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customFormat="false" ht="1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customFormat="false" ht="15" hidden="false" customHeight="tru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customFormat="false" ht="1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customFormat="false" ht="15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customFormat="false" ht="15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customFormat="false" ht="15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customFormat="false" ht="15" hidden="false" customHeight="tru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customFormat="false" ht="1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customFormat="false" ht="15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customFormat="false" ht="15" hidden="false" customHeight="tru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customFormat="false" ht="15" hidden="false" customHeight="tru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customFormat="false" ht="15" hidden="false" customHeight="tru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customFormat="false" ht="15" hidden="false" customHeight="tru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customFormat="false" ht="1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customFormat="false" ht="15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customFormat="false" ht="15" hidden="false" customHeight="tru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customFormat="false" ht="15" hidden="false" customHeight="tru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customFormat="false" ht="1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customFormat="false" ht="15" hidden="false" customHeight="tru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customFormat="false" ht="15" hidden="false" customHeight="tru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customFormat="false" ht="15" hidden="false" customHeight="tru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customFormat="false" ht="15" hidden="false" customHeight="tru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customFormat="false" ht="15" hidden="false" customHeight="tru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customFormat="false" ht="15" hidden="false" customHeight="tru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customFormat="false" ht="15" hidden="false" customHeight="tru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customFormat="false" ht="15" hidden="false" customHeight="tru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customFormat="false" ht="15" hidden="false" customHeight="tru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customFormat="false" ht="1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 customFormat="false" ht="1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 customFormat="false" ht="1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 customFormat="false" ht="1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</sheetData>
  <mergeCells count="3">
    <mergeCell ref="A1:AK1"/>
    <mergeCell ref="A2:AK2"/>
    <mergeCell ref="A9:AK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6" min="6" style="0" width="27"/>
    <col collapsed="false" customWidth="true" hidden="false" outlineLevel="0" max="7" min="7" style="0" width="36"/>
    <col collapsed="false" customWidth="true" hidden="false" outlineLevel="0" max="8" min="8" style="0" width="24"/>
  </cols>
  <sheetData>
    <row r="1" customFormat="false" ht="33.75" hidden="false" customHeight="true" outlineLevel="0" collapsed="false">
      <c r="A1" s="60" t="s">
        <v>459</v>
      </c>
      <c r="B1" s="60"/>
      <c r="C1" s="60"/>
      <c r="D1" s="60"/>
      <c r="E1" s="60"/>
      <c r="F1" s="60"/>
      <c r="G1" s="60"/>
      <c r="H1" s="60"/>
    </row>
    <row r="2" customFormat="false" ht="33.75" hidden="false" customHeight="true" outlineLevel="0" collapsed="false">
      <c r="A2" s="61" t="s">
        <v>460</v>
      </c>
      <c r="B2" s="61"/>
      <c r="C2" s="61"/>
      <c r="D2" s="61"/>
      <c r="E2" s="61"/>
      <c r="F2" s="61"/>
      <c r="G2" s="61"/>
      <c r="H2" s="61"/>
    </row>
    <row r="4" customFormat="false" ht="22.5" hidden="false" customHeight="true" outlineLevel="0" collapsed="false">
      <c r="A4" s="62" t="s">
        <v>461</v>
      </c>
      <c r="B4" s="62"/>
      <c r="C4" s="62"/>
      <c r="D4" s="62"/>
      <c r="E4" s="62"/>
      <c r="F4" s="62"/>
      <c r="G4" s="62"/>
      <c r="H4" s="62"/>
    </row>
    <row r="5" customFormat="false" ht="15" hidden="false" customHeight="false" outlineLevel="0" collapsed="false">
      <c r="A5" s="63" t="s">
        <v>462</v>
      </c>
      <c r="B5" s="63" t="s">
        <v>463</v>
      </c>
      <c r="C5" s="63" t="s">
        <v>464</v>
      </c>
      <c r="D5" s="63" t="s">
        <v>465</v>
      </c>
      <c r="E5" s="63" t="s">
        <v>466</v>
      </c>
      <c r="F5" s="63" t="s">
        <v>467</v>
      </c>
      <c r="G5" s="63" t="s">
        <v>468</v>
      </c>
      <c r="H5" s="63" t="s">
        <v>277</v>
      </c>
    </row>
    <row r="6" customFormat="false" ht="48" hidden="false" customHeight="true" outlineLevel="0" collapsed="false">
      <c r="A6" s="64" t="s">
        <v>469</v>
      </c>
      <c r="B6" s="65" t="n">
        <v>75000</v>
      </c>
      <c r="C6" s="66" t="n">
        <f aca="false">B6/Assumptions!$C$47</f>
        <v>0.25</v>
      </c>
      <c r="D6" s="64" t="s">
        <v>470</v>
      </c>
      <c r="E6" s="64" t="s">
        <v>181</v>
      </c>
      <c r="F6" s="64" t="s">
        <v>471</v>
      </c>
      <c r="G6" s="64" t="s">
        <v>472</v>
      </c>
      <c r="H6" s="64" t="s">
        <v>473</v>
      </c>
    </row>
    <row r="7" customFormat="false" ht="48" hidden="false" customHeight="true" outlineLevel="0" collapsed="false">
      <c r="A7" s="67" t="s">
        <v>474</v>
      </c>
      <c r="B7" s="68" t="n">
        <v>80000</v>
      </c>
      <c r="C7" s="69" t="n">
        <f aca="false">B7/Assumptions!$C$47</f>
        <v>0.266666666666667</v>
      </c>
      <c r="D7" s="67" t="s">
        <v>475</v>
      </c>
      <c r="E7" s="67" t="s">
        <v>476</v>
      </c>
      <c r="F7" s="67" t="s">
        <v>477</v>
      </c>
      <c r="G7" s="67" t="s">
        <v>445</v>
      </c>
      <c r="H7" s="67" t="s">
        <v>478</v>
      </c>
    </row>
    <row r="8" customFormat="false" ht="48" hidden="false" customHeight="true" outlineLevel="0" collapsed="false">
      <c r="A8" s="64" t="s">
        <v>479</v>
      </c>
      <c r="B8" s="65" t="n">
        <v>35000</v>
      </c>
      <c r="C8" s="66" t="n">
        <f aca="false">B8/Assumptions!$C$47</f>
        <v>0.116666666666667</v>
      </c>
      <c r="D8" s="64" t="s">
        <v>480</v>
      </c>
      <c r="E8" s="64" t="s">
        <v>476</v>
      </c>
      <c r="F8" s="64" t="s">
        <v>481</v>
      </c>
      <c r="G8" s="64" t="s">
        <v>445</v>
      </c>
      <c r="H8" s="64" t="s">
        <v>482</v>
      </c>
    </row>
    <row r="9" customFormat="false" ht="48" hidden="false" customHeight="true" outlineLevel="0" collapsed="false">
      <c r="A9" s="67" t="s">
        <v>483</v>
      </c>
      <c r="B9" s="68" t="n">
        <v>70000</v>
      </c>
      <c r="C9" s="69" t="n">
        <f aca="false">B9/Assumptions!$C$47</f>
        <v>0.233333333333333</v>
      </c>
      <c r="D9" s="67" t="s">
        <v>484</v>
      </c>
      <c r="E9" s="67" t="s">
        <v>485</v>
      </c>
      <c r="F9" s="67" t="s">
        <v>486</v>
      </c>
      <c r="G9" s="67" t="s">
        <v>487</v>
      </c>
      <c r="H9" s="67" t="s">
        <v>488</v>
      </c>
    </row>
    <row r="10" customFormat="false" ht="48" hidden="false" customHeight="true" outlineLevel="0" collapsed="false">
      <c r="A10" s="64" t="s">
        <v>489</v>
      </c>
      <c r="B10" s="65" t="n">
        <v>15000</v>
      </c>
      <c r="C10" s="66" t="n">
        <f aca="false">B10/Assumptions!$C$47</f>
        <v>0.05</v>
      </c>
      <c r="D10" s="64" t="s">
        <v>490</v>
      </c>
      <c r="E10" s="64" t="s">
        <v>181</v>
      </c>
      <c r="F10" s="64" t="s">
        <v>491</v>
      </c>
      <c r="G10" s="64" t="s">
        <v>492</v>
      </c>
      <c r="H10" s="64" t="s">
        <v>493</v>
      </c>
    </row>
    <row r="11" customFormat="false" ht="48" hidden="false" customHeight="true" outlineLevel="0" collapsed="false">
      <c r="A11" s="67" t="s">
        <v>494</v>
      </c>
      <c r="B11" s="68" t="n">
        <v>10000</v>
      </c>
      <c r="C11" s="69" t="n">
        <f aca="false">B11/Assumptions!$C$47</f>
        <v>0.0333333333333333</v>
      </c>
      <c r="D11" s="67" t="s">
        <v>495</v>
      </c>
      <c r="E11" s="67" t="s">
        <v>181</v>
      </c>
      <c r="F11" s="67" t="s">
        <v>496</v>
      </c>
      <c r="G11" s="67" t="s">
        <v>497</v>
      </c>
      <c r="H11" s="67" t="s">
        <v>498</v>
      </c>
    </row>
    <row r="12" customFormat="false" ht="48" hidden="false" customHeight="true" outlineLevel="0" collapsed="false">
      <c r="A12" s="64" t="s">
        <v>499</v>
      </c>
      <c r="B12" s="65" t="n">
        <v>15000</v>
      </c>
      <c r="C12" s="66" t="n">
        <f aca="false">B12/Assumptions!$C$47</f>
        <v>0.05</v>
      </c>
      <c r="D12" s="64" t="s">
        <v>500</v>
      </c>
      <c r="E12" s="64" t="s">
        <v>501</v>
      </c>
      <c r="F12" s="64" t="s">
        <v>502</v>
      </c>
      <c r="G12" s="64" t="s">
        <v>503</v>
      </c>
      <c r="H12" s="64" t="s">
        <v>504</v>
      </c>
    </row>
    <row r="13" customFormat="false" ht="30" hidden="false" customHeight="true" outlineLevel="0" collapsed="false">
      <c r="A13" s="70" t="s">
        <v>505</v>
      </c>
      <c r="B13" s="71" t="n">
        <f aca="false">SUM(B6:B12)</f>
        <v>300000</v>
      </c>
      <c r="C13" s="72" t="n">
        <f aca="false">SUM(C6:C12)</f>
        <v>1</v>
      </c>
      <c r="D13" s="70"/>
      <c r="E13" s="70"/>
      <c r="F13" s="70"/>
      <c r="G13" s="70"/>
      <c r="H13" s="70" t="s">
        <v>506</v>
      </c>
    </row>
    <row r="16" customFormat="false" ht="22.5" hidden="false" customHeight="true" outlineLevel="0" collapsed="false">
      <c r="A16" s="62" t="s">
        <v>507</v>
      </c>
      <c r="B16" s="62"/>
      <c r="C16" s="62"/>
      <c r="D16" s="62"/>
      <c r="E16" s="62"/>
      <c r="F16" s="62"/>
      <c r="G16" s="62"/>
      <c r="H16" s="62"/>
    </row>
    <row r="17" customFormat="false" ht="15" hidden="false" customHeight="false" outlineLevel="0" collapsed="false">
      <c r="A17" s="73" t="s">
        <v>508</v>
      </c>
      <c r="B17" s="73" t="s">
        <v>466</v>
      </c>
      <c r="C17" s="73" t="s">
        <v>509</v>
      </c>
      <c r="D17" s="73" t="s">
        <v>510</v>
      </c>
      <c r="E17" s="73" t="s">
        <v>511</v>
      </c>
      <c r="F17" s="73" t="s">
        <v>512</v>
      </c>
      <c r="G17" s="73" t="s">
        <v>513</v>
      </c>
      <c r="H17" s="73" t="s">
        <v>514</v>
      </c>
    </row>
    <row r="18" customFormat="false" ht="48" hidden="false" customHeight="true" outlineLevel="0" collapsed="false">
      <c r="A18" s="64" t="s">
        <v>515</v>
      </c>
      <c r="B18" s="64" t="s">
        <v>391</v>
      </c>
      <c r="C18" s="65" t="n">
        <v>90000</v>
      </c>
      <c r="D18" s="65" t="n">
        <v>90000</v>
      </c>
      <c r="E18" s="65" t="n">
        <f aca="false">Assumptions!$C$47-D18</f>
        <v>210000</v>
      </c>
      <c r="F18" s="64" t="s">
        <v>516</v>
      </c>
      <c r="G18" s="64" t="s">
        <v>517</v>
      </c>
      <c r="H18" s="64" t="s">
        <v>518</v>
      </c>
    </row>
    <row r="19" customFormat="false" ht="48" hidden="false" customHeight="true" outlineLevel="0" collapsed="false">
      <c r="A19" s="67" t="s">
        <v>519</v>
      </c>
      <c r="B19" s="67" t="s">
        <v>392</v>
      </c>
      <c r="C19" s="68" t="n">
        <v>80000</v>
      </c>
      <c r="D19" s="68" t="n">
        <v>170000</v>
      </c>
      <c r="E19" s="68" t="n">
        <f aca="false">Assumptions!$C$47-D19</f>
        <v>130000</v>
      </c>
      <c r="F19" s="67" t="s">
        <v>520</v>
      </c>
      <c r="G19" s="67" t="s">
        <v>521</v>
      </c>
      <c r="H19" s="67" t="s">
        <v>522</v>
      </c>
    </row>
    <row r="20" customFormat="false" ht="48" hidden="false" customHeight="true" outlineLevel="0" collapsed="false">
      <c r="A20" s="64" t="s">
        <v>326</v>
      </c>
      <c r="B20" s="64" t="s">
        <v>393</v>
      </c>
      <c r="C20" s="65" t="n">
        <v>115000</v>
      </c>
      <c r="D20" s="65" t="n">
        <v>285000</v>
      </c>
      <c r="E20" s="65" t="n">
        <f aca="false">Assumptions!$C$47-D20</f>
        <v>15000</v>
      </c>
      <c r="F20" s="64" t="s">
        <v>523</v>
      </c>
      <c r="G20" s="64" t="s">
        <v>524</v>
      </c>
      <c r="H20" s="64" t="s">
        <v>525</v>
      </c>
    </row>
    <row r="21" customFormat="false" ht="48" hidden="false" customHeight="true" outlineLevel="0" collapsed="false">
      <c r="A21" s="67" t="s">
        <v>499</v>
      </c>
      <c r="B21" s="67" t="s">
        <v>501</v>
      </c>
      <c r="C21" s="68" t="n">
        <v>15000</v>
      </c>
      <c r="D21" s="68" t="n">
        <v>300000</v>
      </c>
      <c r="E21" s="68" t="n">
        <f aca="false">Assumptions!$C$47-D21</f>
        <v>0</v>
      </c>
      <c r="F21" s="67" t="s">
        <v>526</v>
      </c>
      <c r="G21" s="67" t="s">
        <v>527</v>
      </c>
      <c r="H21" s="67" t="s">
        <v>528</v>
      </c>
    </row>
  </sheetData>
  <mergeCells count="4">
    <mergeCell ref="A1:H1"/>
    <mergeCell ref="A2:H2"/>
    <mergeCell ref="A4:H4"/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8" min="8" style="0" width="23"/>
    <col collapsed="false" customWidth="true" hidden="false" outlineLevel="0" max="13" min="9" style="0" width="11"/>
  </cols>
  <sheetData>
    <row r="1" customFormat="false" ht="33.75" hidden="false" customHeight="true" outlineLevel="0" collapsed="false">
      <c r="A1" s="60" t="s">
        <v>529</v>
      </c>
      <c r="B1" s="60"/>
      <c r="C1" s="60"/>
      <c r="D1" s="60"/>
      <c r="E1" s="60"/>
      <c r="F1" s="60"/>
      <c r="G1" s="60"/>
      <c r="H1" s="60"/>
    </row>
    <row r="2" customFormat="false" ht="33.75" hidden="false" customHeight="true" outlineLevel="0" collapsed="false">
      <c r="A2" s="61" t="s">
        <v>530</v>
      </c>
      <c r="B2" s="61"/>
      <c r="C2" s="61"/>
      <c r="D2" s="61"/>
      <c r="E2" s="61"/>
      <c r="F2" s="61"/>
      <c r="G2" s="61"/>
      <c r="H2" s="61"/>
    </row>
    <row r="4" customFormat="false" ht="23.85" hidden="false" customHeight="false" outlineLevel="0" collapsed="false">
      <c r="A4" s="63" t="s">
        <v>467</v>
      </c>
      <c r="B4" s="63" t="s">
        <v>466</v>
      </c>
      <c r="C4" s="63" t="s">
        <v>531</v>
      </c>
      <c r="D4" s="63" t="s">
        <v>532</v>
      </c>
      <c r="E4" s="63" t="s">
        <v>511</v>
      </c>
      <c r="F4" s="63" t="s">
        <v>533</v>
      </c>
      <c r="G4" s="63" t="s">
        <v>534</v>
      </c>
      <c r="H4" s="63" t="s">
        <v>514</v>
      </c>
    </row>
    <row r="5" customFormat="false" ht="66" hidden="false" customHeight="true" outlineLevel="0" collapsed="false">
      <c r="A5" s="67" t="s">
        <v>515</v>
      </c>
      <c r="B5" s="67" t="s">
        <v>287</v>
      </c>
      <c r="C5" s="68" t="n">
        <v>90000</v>
      </c>
      <c r="D5" s="68" t="n">
        <v>90000</v>
      </c>
      <c r="E5" s="68" t="n">
        <v>210000</v>
      </c>
      <c r="F5" s="67" t="s">
        <v>535</v>
      </c>
      <c r="G5" s="67" t="s">
        <v>536</v>
      </c>
      <c r="H5" s="67" t="s">
        <v>518</v>
      </c>
    </row>
    <row r="6" customFormat="false" ht="66" hidden="false" customHeight="true" outlineLevel="0" collapsed="false">
      <c r="A6" s="64" t="s">
        <v>519</v>
      </c>
      <c r="B6" s="64" t="s">
        <v>290</v>
      </c>
      <c r="C6" s="65" t="n">
        <v>80000</v>
      </c>
      <c r="D6" s="65" t="n">
        <v>170000</v>
      </c>
      <c r="E6" s="65" t="n">
        <v>130000</v>
      </c>
      <c r="F6" s="64" t="s">
        <v>537</v>
      </c>
      <c r="G6" s="64" t="s">
        <v>538</v>
      </c>
      <c r="H6" s="64" t="s">
        <v>522</v>
      </c>
    </row>
    <row r="7" customFormat="false" ht="66" hidden="false" customHeight="true" outlineLevel="0" collapsed="false">
      <c r="A7" s="67" t="s">
        <v>326</v>
      </c>
      <c r="B7" s="67" t="s">
        <v>293</v>
      </c>
      <c r="C7" s="68" t="n">
        <v>115000</v>
      </c>
      <c r="D7" s="68" t="n">
        <v>285000</v>
      </c>
      <c r="E7" s="68" t="n">
        <v>15000</v>
      </c>
      <c r="F7" s="67" t="s">
        <v>539</v>
      </c>
      <c r="G7" s="67" t="s">
        <v>540</v>
      </c>
      <c r="H7" s="67" t="s">
        <v>525</v>
      </c>
    </row>
    <row r="8" customFormat="false" ht="66" hidden="false" customHeight="true" outlineLevel="0" collapsed="false">
      <c r="A8" s="64" t="s">
        <v>499</v>
      </c>
      <c r="B8" s="64" t="s">
        <v>501</v>
      </c>
      <c r="C8" s="65" t="n">
        <v>15000</v>
      </c>
      <c r="D8" s="65" t="n">
        <v>300000</v>
      </c>
      <c r="E8" s="65" t="n">
        <v>0</v>
      </c>
      <c r="F8" s="64" t="s">
        <v>541</v>
      </c>
      <c r="G8" s="64" t="s">
        <v>542</v>
      </c>
      <c r="H8" s="64" t="s">
        <v>528</v>
      </c>
    </row>
    <row r="9" customFormat="false" ht="66" hidden="false" customHeight="true" outlineLevel="0" collapsed="false">
      <c r="A9" s="67" t="s">
        <v>543</v>
      </c>
      <c r="B9" s="67" t="s">
        <v>295</v>
      </c>
      <c r="C9" s="68" t="n">
        <v>0</v>
      </c>
      <c r="D9" s="68" t="n">
        <v>285000</v>
      </c>
      <c r="E9" s="68" t="n">
        <v>15000</v>
      </c>
      <c r="F9" s="67" t="s">
        <v>544</v>
      </c>
      <c r="G9" s="67" t="s">
        <v>545</v>
      </c>
      <c r="H9" s="67" t="s">
        <v>546</v>
      </c>
    </row>
    <row r="10" customFormat="false" ht="66" hidden="false" customHeight="true" outlineLevel="0" collapsed="false">
      <c r="A10" s="64" t="s">
        <v>547</v>
      </c>
      <c r="B10" s="64" t="s">
        <v>298</v>
      </c>
      <c r="C10" s="65" t="n">
        <v>0</v>
      </c>
      <c r="D10" s="65" t="n">
        <v>285000</v>
      </c>
      <c r="E10" s="65" t="n">
        <v>15000</v>
      </c>
      <c r="F10" s="64" t="s">
        <v>548</v>
      </c>
      <c r="G10" s="64" t="s">
        <v>549</v>
      </c>
      <c r="H10" s="64" t="s">
        <v>21</v>
      </c>
    </row>
    <row r="13" customFormat="false" ht="22.5" hidden="false" customHeight="true" outlineLevel="0" collapsed="false">
      <c r="A13" s="62" t="s">
        <v>550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</row>
    <row r="14" customFormat="false" ht="15" hidden="false" customHeight="false" outlineLevel="0" collapsed="false">
      <c r="A14" s="73" t="s">
        <v>4</v>
      </c>
      <c r="B14" s="73" t="s">
        <v>287</v>
      </c>
      <c r="C14" s="73" t="s">
        <v>288</v>
      </c>
      <c r="D14" s="73" t="s">
        <v>289</v>
      </c>
      <c r="E14" s="73" t="s">
        <v>290</v>
      </c>
      <c r="F14" s="73" t="s">
        <v>291</v>
      </c>
      <c r="G14" s="73" t="s">
        <v>292</v>
      </c>
      <c r="H14" s="73" t="s">
        <v>293</v>
      </c>
      <c r="I14" s="73" t="s">
        <v>294</v>
      </c>
      <c r="J14" s="73" t="s">
        <v>295</v>
      </c>
      <c r="K14" s="73" t="s">
        <v>296</v>
      </c>
      <c r="L14" s="73" t="s">
        <v>297</v>
      </c>
      <c r="M14" s="73" t="s">
        <v>298</v>
      </c>
    </row>
    <row r="15" customFormat="false" ht="15" hidden="false" customHeight="false" outlineLevel="0" collapsed="false">
      <c r="A15" s="74" t="s">
        <v>532</v>
      </c>
      <c r="B15" s="75" t="n">
        <f aca="false">IF(1&lt;4,$D$5,IF(1&lt;7,$D$6,$D$7))</f>
        <v>90000</v>
      </c>
      <c r="C15" s="75" t="n">
        <f aca="false">IF(2&lt;4,$D$5,IF(2&lt;7,$D$6,$D$7))</f>
        <v>90000</v>
      </c>
      <c r="D15" s="75" t="n">
        <f aca="false">IF(3&lt;4,$D$5,IF(3&lt;7,$D$6,$D$7))</f>
        <v>90000</v>
      </c>
      <c r="E15" s="75" t="n">
        <f aca="false">IF(4&lt;4,$D$5,IF(4&lt;7,$D$6,$D$7))</f>
        <v>170000</v>
      </c>
      <c r="F15" s="75" t="n">
        <f aca="false">IF(5&lt;4,$D$5,IF(5&lt;7,$D$6,$D$7))</f>
        <v>170000</v>
      </c>
      <c r="G15" s="75" t="n">
        <f aca="false">IF(6&lt;4,$D$5,IF(6&lt;7,$D$6,$D$7))</f>
        <v>170000</v>
      </c>
      <c r="H15" s="75" t="n">
        <f aca="false">IF(7&lt;4,$D$5,IF(7&lt;7,$D$6,$D$7))</f>
        <v>285000</v>
      </c>
      <c r="I15" s="75" t="n">
        <f aca="false">IF(8&lt;4,$D$5,IF(8&lt;7,$D$6,$D$7))</f>
        <v>285000</v>
      </c>
      <c r="J15" s="75" t="n">
        <f aca="false">IF(9&lt;4,$D$5,IF(9&lt;7,$D$6,$D$7))</f>
        <v>285000</v>
      </c>
      <c r="K15" s="75" t="n">
        <f aca="false">IF(10&lt;4,$D$5,IF(10&lt;7,$D$6,$D$7))</f>
        <v>285000</v>
      </c>
      <c r="L15" s="75" t="n">
        <f aca="false">IF(11&lt;4,$D$5,IF(11&lt;7,$D$6,$D$7))</f>
        <v>285000</v>
      </c>
      <c r="M15" s="75" t="n">
        <f aca="false">IF(12&lt;4,$D$5,IF(12&lt;7,$D$6,$D$7))</f>
        <v>285000</v>
      </c>
    </row>
    <row r="16" customFormat="false" ht="15" hidden="false" customHeight="false" outlineLevel="0" collapsed="false">
      <c r="A16" s="74" t="s">
        <v>511</v>
      </c>
      <c r="B16" s="75" t="n">
        <f aca="false">Assumptions!$C$47-B15</f>
        <v>210000</v>
      </c>
      <c r="C16" s="75" t="n">
        <f aca="false">Assumptions!$C$47-C15</f>
        <v>210000</v>
      </c>
      <c r="D16" s="75" t="n">
        <f aca="false">Assumptions!$C$47-D15</f>
        <v>210000</v>
      </c>
      <c r="E16" s="75" t="n">
        <f aca="false">Assumptions!$C$47-E15</f>
        <v>130000</v>
      </c>
      <c r="F16" s="75" t="n">
        <f aca="false">Assumptions!$C$47-F15</f>
        <v>130000</v>
      </c>
      <c r="G16" s="75" t="n">
        <f aca="false">Assumptions!$C$47-G15</f>
        <v>130000</v>
      </c>
      <c r="H16" s="75" t="n">
        <f aca="false">Assumptions!$C$47-H15</f>
        <v>15000</v>
      </c>
      <c r="I16" s="75" t="n">
        <f aca="false">Assumptions!$C$47-I15</f>
        <v>15000</v>
      </c>
      <c r="J16" s="75" t="n">
        <f aca="false">Assumptions!$C$47-J15</f>
        <v>15000</v>
      </c>
      <c r="K16" s="75" t="n">
        <f aca="false">Assumptions!$C$47-K15</f>
        <v>15000</v>
      </c>
      <c r="L16" s="75" t="n">
        <f aca="false">Assumptions!$C$47-L15</f>
        <v>15000</v>
      </c>
      <c r="M16" s="75" t="n">
        <f aca="false">Assumptions!$C$47-M15</f>
        <v>15000</v>
      </c>
    </row>
    <row r="17" customFormat="false" ht="15" hidden="false" customHeight="false" outlineLevel="0" collapsed="false">
      <c r="A17" s="74" t="s">
        <v>551</v>
      </c>
      <c r="B17" s="75" t="n">
        <f aca="false">-MIN(0,'Cash &amp; Funding'!B$13)</f>
        <v>17731.884058396</v>
      </c>
      <c r="C17" s="75" t="n">
        <f aca="false">-MIN(0,'Cash &amp; Funding'!C$13)</f>
        <v>35443.768116792</v>
      </c>
      <c r="D17" s="75" t="n">
        <f aca="false">-MIN(0,'Cash &amp; Funding'!D$13)</f>
        <v>55635.452175188</v>
      </c>
      <c r="E17" s="75" t="n">
        <f aca="false">-MIN(0,'Cash &amp; Funding'!E$13)</f>
        <v>74543.0457010513</v>
      </c>
      <c r="F17" s="75" t="n">
        <f aca="false">-MIN(0,'Cash &amp; Funding'!F$13)</f>
        <v>92782.4879920234</v>
      </c>
      <c r="G17" s="75" t="n">
        <f aca="false">-MIN(0,'Cash &amp; Funding'!G$13)</f>
        <v>110404.923615949</v>
      </c>
      <c r="H17" s="75" t="n">
        <f aca="false">-MIN(0,'Cash &amp; Funding'!H$13)</f>
        <v>112555.483423126</v>
      </c>
      <c r="I17" s="75" t="n">
        <f aca="false">-MIN(0,'Cash &amp; Funding'!I$13)</f>
        <v>113679.269733633</v>
      </c>
      <c r="J17" s="75" t="n">
        <f aca="false">-MIN(0,'Cash &amp; Funding'!J$13)</f>
        <v>108356.046975761</v>
      </c>
      <c r="K17" s="75" t="n">
        <f aca="false">-MIN(0,'Cash &amp; Funding'!K$13)</f>
        <v>103041.039787491</v>
      </c>
      <c r="L17" s="75" t="n">
        <f aca="false">-MIN(0,'Cash &amp; Funding'!L$13)</f>
        <v>97122.0747168034</v>
      </c>
      <c r="M17" s="75" t="n">
        <f aca="false">-MIN(0,'Cash &amp; Funding'!M$13)</f>
        <v>90642.0505456806</v>
      </c>
    </row>
    <row r="18" customFormat="false" ht="15" hidden="false" customHeight="false" outlineLevel="0" collapsed="false">
      <c r="A18" s="74" t="s">
        <v>552</v>
      </c>
      <c r="B18" s="76" t="n">
        <f aca="false">B15-B17</f>
        <v>72268.115941604</v>
      </c>
      <c r="C18" s="76" t="n">
        <f aca="false">C15-C17</f>
        <v>54556.231883208</v>
      </c>
      <c r="D18" s="76" t="n">
        <f aca="false">D15-D17</f>
        <v>34364.547824812</v>
      </c>
      <c r="E18" s="76" t="n">
        <f aca="false">E15-E17</f>
        <v>95456.9542989487</v>
      </c>
      <c r="F18" s="76" t="n">
        <f aca="false">F15-F17</f>
        <v>77217.5120079766</v>
      </c>
      <c r="G18" s="76" t="n">
        <f aca="false">G15-G17</f>
        <v>59595.0763840514</v>
      </c>
      <c r="H18" s="76" t="n">
        <f aca="false">H15-H17</f>
        <v>172444.516576874</v>
      </c>
      <c r="I18" s="76" t="n">
        <f aca="false">I15-I17</f>
        <v>171320.730266367</v>
      </c>
      <c r="J18" s="76" t="n">
        <f aca="false">J15-J17</f>
        <v>176643.953024239</v>
      </c>
      <c r="K18" s="76" t="n">
        <f aca="false">K15-K17</f>
        <v>181958.960212509</v>
      </c>
      <c r="L18" s="76" t="n">
        <f aca="false">L15-L17</f>
        <v>187877.925283197</v>
      </c>
      <c r="M18" s="76" t="n">
        <f aca="false">M15-M17</f>
        <v>194357.949454319</v>
      </c>
    </row>
  </sheetData>
  <mergeCells count="3">
    <mergeCell ref="A1:H1"/>
    <mergeCell ref="A2:H2"/>
    <mergeCell ref="A13:M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7.22"/>
    <col collapsed="false" customWidth="true" hidden="false" outlineLevel="0" max="4" min="2" style="1" width="18.34"/>
  </cols>
  <sheetData>
    <row r="1" customFormat="false" ht="25.5" hidden="false" customHeight="true" outlineLevel="0" collapsed="false">
      <c r="A1" s="2" t="s">
        <v>553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customFormat="false" ht="24" hidden="false" customHeight="true" outlineLevel="0" collapsed="false">
      <c r="A2" s="3" t="s">
        <v>554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customFormat="false" ht="1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customFormat="false" ht="15" hidden="false" customHeight="true" outlineLevel="0" collapsed="false">
      <c r="A5" s="41" t="s">
        <v>286</v>
      </c>
      <c r="B5" s="41" t="s">
        <v>287</v>
      </c>
      <c r="C5" s="41" t="s">
        <v>288</v>
      </c>
      <c r="D5" s="41" t="s">
        <v>289</v>
      </c>
      <c r="E5" s="41" t="s">
        <v>290</v>
      </c>
      <c r="F5" s="41" t="s">
        <v>291</v>
      </c>
      <c r="G5" s="41" t="s">
        <v>292</v>
      </c>
      <c r="H5" s="41" t="s">
        <v>293</v>
      </c>
      <c r="I5" s="41" t="s">
        <v>294</v>
      </c>
      <c r="J5" s="41" t="s">
        <v>295</v>
      </c>
      <c r="K5" s="41" t="s">
        <v>296</v>
      </c>
      <c r="L5" s="41" t="s">
        <v>297</v>
      </c>
      <c r="M5" s="41" t="s">
        <v>298</v>
      </c>
      <c r="N5" s="41" t="s">
        <v>299</v>
      </c>
      <c r="O5" s="41" t="s">
        <v>300</v>
      </c>
      <c r="P5" s="41" t="s">
        <v>301</v>
      </c>
      <c r="Q5" s="41" t="s">
        <v>302</v>
      </c>
      <c r="R5" s="41" t="s">
        <v>303</v>
      </c>
      <c r="S5" s="41" t="s">
        <v>304</v>
      </c>
      <c r="T5" s="41" t="s">
        <v>305</v>
      </c>
      <c r="U5" s="41" t="s">
        <v>306</v>
      </c>
      <c r="V5" s="41" t="s">
        <v>307</v>
      </c>
      <c r="W5" s="41" t="s">
        <v>308</v>
      </c>
      <c r="X5" s="41" t="s">
        <v>309</v>
      </c>
      <c r="Y5" s="41" t="s">
        <v>310</v>
      </c>
      <c r="Z5" s="41" t="s">
        <v>311</v>
      </c>
      <c r="AA5" s="41" t="s">
        <v>312</v>
      </c>
      <c r="AB5" s="41" t="s">
        <v>313</v>
      </c>
      <c r="AC5" s="41" t="s">
        <v>314</v>
      </c>
      <c r="AD5" s="41" t="s">
        <v>315</v>
      </c>
      <c r="AE5" s="41" t="s">
        <v>316</v>
      </c>
      <c r="AF5" s="41" t="s">
        <v>317</v>
      </c>
      <c r="AG5" s="41" t="s">
        <v>318</v>
      </c>
      <c r="AH5" s="41" t="s">
        <v>319</v>
      </c>
      <c r="AI5" s="41" t="s">
        <v>320</v>
      </c>
      <c r="AJ5" s="41" t="s">
        <v>321</v>
      </c>
      <c r="AK5" s="41" t="s">
        <v>322</v>
      </c>
    </row>
    <row r="6" customFormat="false" ht="15" hidden="false" customHeight="true" outlineLevel="0" collapsed="false">
      <c r="A6" s="41" t="s">
        <v>40</v>
      </c>
      <c r="B6" s="41" t="s">
        <v>45</v>
      </c>
      <c r="C6" s="41" t="s">
        <v>45</v>
      </c>
      <c r="D6" s="41" t="s">
        <v>45</v>
      </c>
      <c r="E6" s="41" t="s">
        <v>45</v>
      </c>
      <c r="F6" s="41" t="s">
        <v>45</v>
      </c>
      <c r="G6" s="41" t="s">
        <v>45</v>
      </c>
      <c r="H6" s="41" t="s">
        <v>45</v>
      </c>
      <c r="I6" s="41" t="s">
        <v>45</v>
      </c>
      <c r="J6" s="41" t="s">
        <v>45</v>
      </c>
      <c r="K6" s="41" t="s">
        <v>45</v>
      </c>
      <c r="L6" s="41" t="s">
        <v>45</v>
      </c>
      <c r="M6" s="41" t="s">
        <v>45</v>
      </c>
      <c r="N6" s="41" t="s">
        <v>46</v>
      </c>
      <c r="O6" s="41" t="s">
        <v>46</v>
      </c>
      <c r="P6" s="41" t="s">
        <v>46</v>
      </c>
      <c r="Q6" s="41" t="s">
        <v>46</v>
      </c>
      <c r="R6" s="41" t="s">
        <v>46</v>
      </c>
      <c r="S6" s="41" t="s">
        <v>46</v>
      </c>
      <c r="T6" s="41" t="s">
        <v>46</v>
      </c>
      <c r="U6" s="41" t="s">
        <v>46</v>
      </c>
      <c r="V6" s="41" t="s">
        <v>46</v>
      </c>
      <c r="W6" s="41" t="s">
        <v>46</v>
      </c>
      <c r="X6" s="41" t="s">
        <v>46</v>
      </c>
      <c r="Y6" s="41" t="s">
        <v>46</v>
      </c>
      <c r="Z6" s="41" t="s">
        <v>47</v>
      </c>
      <c r="AA6" s="41" t="s">
        <v>47</v>
      </c>
      <c r="AB6" s="41" t="s">
        <v>47</v>
      </c>
      <c r="AC6" s="41" t="s">
        <v>47</v>
      </c>
      <c r="AD6" s="41" t="s">
        <v>47</v>
      </c>
      <c r="AE6" s="41" t="s">
        <v>47</v>
      </c>
      <c r="AF6" s="41" t="s">
        <v>47</v>
      </c>
      <c r="AG6" s="41" t="s">
        <v>47</v>
      </c>
      <c r="AH6" s="41" t="s">
        <v>47</v>
      </c>
      <c r="AI6" s="41" t="s">
        <v>47</v>
      </c>
      <c r="AJ6" s="41" t="s">
        <v>47</v>
      </c>
      <c r="AK6" s="41" t="s">
        <v>47</v>
      </c>
    </row>
    <row r="7" customFormat="false" ht="15" hidden="false" customHeight="true" outlineLevel="0" collapsed="false">
      <c r="A7" s="42" t="s">
        <v>323</v>
      </c>
      <c r="B7" s="42" t="s">
        <v>324</v>
      </c>
      <c r="C7" s="42" t="s">
        <v>324</v>
      </c>
      <c r="D7" s="42" t="s">
        <v>324</v>
      </c>
      <c r="E7" s="42" t="s">
        <v>325</v>
      </c>
      <c r="F7" s="42" t="s">
        <v>325</v>
      </c>
      <c r="G7" s="42" t="s">
        <v>326</v>
      </c>
      <c r="H7" s="42" t="s">
        <v>327</v>
      </c>
      <c r="I7" s="42" t="s">
        <v>327</v>
      </c>
      <c r="J7" s="42" t="s">
        <v>327</v>
      </c>
      <c r="K7" s="42" t="s">
        <v>328</v>
      </c>
      <c r="L7" s="42" t="s">
        <v>328</v>
      </c>
      <c r="M7" s="42" t="s">
        <v>328</v>
      </c>
      <c r="N7" s="42" t="s">
        <v>329</v>
      </c>
      <c r="O7" s="42" t="s">
        <v>329</v>
      </c>
      <c r="P7" s="42" t="s">
        <v>329</v>
      </c>
      <c r="Q7" s="42" t="s">
        <v>329</v>
      </c>
      <c r="R7" s="42" t="s">
        <v>329</v>
      </c>
      <c r="S7" s="42" t="s">
        <v>329</v>
      </c>
      <c r="T7" s="42" t="s">
        <v>329</v>
      </c>
      <c r="U7" s="42" t="s">
        <v>329</v>
      </c>
      <c r="V7" s="42" t="s">
        <v>329</v>
      </c>
      <c r="W7" s="42" t="s">
        <v>329</v>
      </c>
      <c r="X7" s="42" t="s">
        <v>329</v>
      </c>
      <c r="Y7" s="42" t="s">
        <v>329</v>
      </c>
      <c r="Z7" s="42" t="s">
        <v>329</v>
      </c>
      <c r="AA7" s="42" t="s">
        <v>329</v>
      </c>
      <c r="AB7" s="42" t="s">
        <v>329</v>
      </c>
      <c r="AC7" s="42" t="s">
        <v>329</v>
      </c>
      <c r="AD7" s="42" t="s">
        <v>329</v>
      </c>
      <c r="AE7" s="42" t="s">
        <v>329</v>
      </c>
      <c r="AF7" s="42" t="s">
        <v>329</v>
      </c>
      <c r="AG7" s="42" t="s">
        <v>329</v>
      </c>
      <c r="AH7" s="42" t="s">
        <v>329</v>
      </c>
      <c r="AI7" s="42" t="s">
        <v>329</v>
      </c>
      <c r="AJ7" s="42" t="s">
        <v>329</v>
      </c>
      <c r="AK7" s="42" t="s">
        <v>329</v>
      </c>
    </row>
    <row r="8" customFormat="false" ht="15" hidden="false" customHeight="tru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customFormat="false" ht="17.25" hidden="false" customHeight="true" outlineLevel="0" collapsed="false">
      <c r="A9" s="5" t="s">
        <v>555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customFormat="false" ht="15" hidden="false" customHeight="true" outlineLevel="0" collapsed="false">
      <c r="A10" s="4" t="s">
        <v>556</v>
      </c>
      <c r="B10" s="44" t="n">
        <f aca="false">Assumptions!$C$47</f>
        <v>300000</v>
      </c>
      <c r="C10" s="44" t="n">
        <f aca="false">B12</f>
        <v>282268.115941604</v>
      </c>
      <c r="D10" s="44" t="n">
        <f aca="false">C12</f>
        <v>264556.231883208</v>
      </c>
      <c r="E10" s="44" t="n">
        <f aca="false">D12</f>
        <v>244364.547824812</v>
      </c>
      <c r="F10" s="44" t="n">
        <f aca="false">E12</f>
        <v>225456.954298949</v>
      </c>
      <c r="G10" s="44" t="n">
        <f aca="false">F12</f>
        <v>207217.512007977</v>
      </c>
      <c r="H10" s="44" t="n">
        <f aca="false">G12</f>
        <v>189595.076384051</v>
      </c>
      <c r="I10" s="44" t="n">
        <f aca="false">H12</f>
        <v>187444.516576874</v>
      </c>
      <c r="J10" s="44" t="n">
        <f aca="false">I12</f>
        <v>186320.730266367</v>
      </c>
      <c r="K10" s="44" t="n">
        <f aca="false">J12</f>
        <v>191643.953024239</v>
      </c>
      <c r="L10" s="44" t="n">
        <f aca="false">K12</f>
        <v>196958.960212509</v>
      </c>
      <c r="M10" s="44" t="n">
        <f aca="false">L12</f>
        <v>202877.925283197</v>
      </c>
      <c r="N10" s="44" t="n">
        <f aca="false">M12</f>
        <v>209357.949454319</v>
      </c>
      <c r="O10" s="44" t="n">
        <f aca="false">N12</f>
        <v>218121.363586178</v>
      </c>
      <c r="P10" s="44" t="n">
        <f aca="false">O12</f>
        <v>227400.493733577</v>
      </c>
      <c r="Q10" s="44" t="n">
        <f aca="false">P12</f>
        <v>234660.012079563</v>
      </c>
      <c r="R10" s="44" t="n">
        <f aca="false">Q12</f>
        <v>243924.693745631</v>
      </c>
      <c r="S10" s="44" t="n">
        <f aca="false">R12</f>
        <v>253608.327296586</v>
      </c>
      <c r="T10" s="44" t="n">
        <f aca="false">S12</f>
        <v>263683.739519285</v>
      </c>
      <c r="U10" s="44" t="n">
        <f aca="false">T12</f>
        <v>275097.886946164</v>
      </c>
      <c r="V10" s="44" t="n">
        <f aca="false">U12</f>
        <v>287144.858398494</v>
      </c>
      <c r="W10" s="44" t="n">
        <f aca="false">V12</f>
        <v>304280.751664517</v>
      </c>
      <c r="X10" s="44" t="n">
        <f aca="false">W12</f>
        <v>321544.58370591</v>
      </c>
      <c r="Y10" s="44" t="n">
        <f aca="false">X12</f>
        <v>339323.082246469</v>
      </c>
      <c r="Z10" s="44" t="n">
        <f aca="false">Y12</f>
        <v>357582.520574501</v>
      </c>
      <c r="AA10" s="44" t="n">
        <f aca="false">Z12</f>
        <v>376851.878488613</v>
      </c>
      <c r="AB10" s="44" t="n">
        <f aca="false">AA12</f>
        <v>396543.039187234</v>
      </c>
      <c r="AC10" s="44" t="n">
        <f aca="false">AB12</f>
        <v>414130.16084784</v>
      </c>
      <c r="AD10" s="44" t="n">
        <f aca="false">AC12</f>
        <v>432633.827268301</v>
      </c>
      <c r="AE10" s="44" t="n">
        <f aca="false">AD12</f>
        <v>451488.552846431</v>
      </c>
      <c r="AF10" s="44" t="n">
        <f aca="false">AE12</f>
        <v>470674.664187657</v>
      </c>
      <c r="AG10" s="44" t="n">
        <f aca="false">AF12</f>
        <v>491135.569953008</v>
      </c>
      <c r="AH10" s="44" t="n">
        <f aca="false">AG12</f>
        <v>511893.604239149</v>
      </c>
      <c r="AI10" s="44" t="n">
        <f aca="false">AH12</f>
        <v>537433.922163306</v>
      </c>
      <c r="AJ10" s="44" t="n">
        <f aca="false">AI12</f>
        <v>563052.743865129</v>
      </c>
      <c r="AK10" s="44" t="n">
        <f aca="false">AJ12</f>
        <v>588928.454934996</v>
      </c>
    </row>
    <row r="11" customFormat="false" ht="15" hidden="false" customHeight="true" outlineLevel="0" collapsed="false">
      <c r="A11" s="4" t="s">
        <v>557</v>
      </c>
      <c r="B11" s="44" t="n">
        <f aca="false">'P&amp;L 36 Months'!B27</f>
        <v>-17731.884058396</v>
      </c>
      <c r="C11" s="44" t="n">
        <f aca="false">'P&amp;L 36 Months'!C27</f>
        <v>-17711.884058396</v>
      </c>
      <c r="D11" s="44" t="n">
        <f aca="false">'P&amp;L 36 Months'!D27</f>
        <v>-20191.684058396</v>
      </c>
      <c r="E11" s="44" t="n">
        <f aca="false">'P&amp;L 36 Months'!E27</f>
        <v>-18907.5935258632</v>
      </c>
      <c r="F11" s="44" t="n">
        <f aca="false">'P&amp;L 36 Months'!F27</f>
        <v>-18239.4422909721</v>
      </c>
      <c r="G11" s="44" t="n">
        <f aca="false">'P&amp;L 36 Months'!G27</f>
        <v>-17622.4356239252</v>
      </c>
      <c r="H11" s="44" t="n">
        <f aca="false">'P&amp;L 36 Months'!H27</f>
        <v>-2150.55980717729</v>
      </c>
      <c r="I11" s="44" t="n">
        <f aca="false">'P&amp;L 36 Months'!I27</f>
        <v>-1123.78631050709</v>
      </c>
      <c r="J11" s="44" t="n">
        <f aca="false">'P&amp;L 36 Months'!J27</f>
        <v>5323.22275787182</v>
      </c>
      <c r="K11" s="44" t="n">
        <f aca="false">'P&amp;L 36 Months'!K27</f>
        <v>5315.00718827043</v>
      </c>
      <c r="L11" s="44" t="n">
        <f aca="false">'P&amp;L 36 Months'!L27</f>
        <v>5918.96507068731</v>
      </c>
      <c r="M11" s="44" t="n">
        <f aca="false">'P&amp;L 36 Months'!M27</f>
        <v>6480.02417112278</v>
      </c>
      <c r="N11" s="44" t="n">
        <f aca="false">'P&amp;L 36 Months'!N27</f>
        <v>8763.41413185885</v>
      </c>
      <c r="O11" s="44" t="n">
        <f aca="false">'P&amp;L 36 Months'!O27</f>
        <v>9279.13014739913</v>
      </c>
      <c r="P11" s="44" t="n">
        <f aca="false">'P&amp;L 36 Months'!P27</f>
        <v>7259.51834598595</v>
      </c>
      <c r="Q11" s="44" t="n">
        <f aca="false">'P&amp;L 36 Months'!Q27</f>
        <v>9264.68166606804</v>
      </c>
      <c r="R11" s="44" t="n">
        <f aca="false">'P&amp;L 36 Months'!R27</f>
        <v>9683.63355095429</v>
      </c>
      <c r="S11" s="44" t="n">
        <f aca="false">'P&amp;L 36 Months'!S27</f>
        <v>10075.4122226996</v>
      </c>
      <c r="T11" s="44" t="n">
        <f aca="false">'P&amp;L 36 Months'!T27</f>
        <v>11414.1474268789</v>
      </c>
      <c r="U11" s="44" t="n">
        <f aca="false">'P&amp;L 36 Months'!U27</f>
        <v>12046.9714523299</v>
      </c>
      <c r="V11" s="44" t="n">
        <f aca="false">'P&amp;L 36 Months'!V27</f>
        <v>17135.893266023</v>
      </c>
      <c r="W11" s="44" t="n">
        <f aca="false">'P&amp;L 36 Months'!W27</f>
        <v>17263.8320413934</v>
      </c>
      <c r="X11" s="44" t="n">
        <f aca="false">'P&amp;L 36 Months'!X27</f>
        <v>17778.4985405583</v>
      </c>
      <c r="Y11" s="44" t="n">
        <f aca="false">'P&amp;L 36 Months'!Y27</f>
        <v>18259.4383280321</v>
      </c>
      <c r="Z11" s="44" t="n">
        <f aca="false">'P&amp;L 36 Months'!Z27</f>
        <v>19269.3579141126</v>
      </c>
      <c r="AA11" s="44" t="n">
        <f aca="false">'P&amp;L 36 Months'!AA27</f>
        <v>19691.1606986202</v>
      </c>
      <c r="AB11" s="44" t="n">
        <f aca="false">'P&amp;L 36 Months'!AB27</f>
        <v>17587.1216606067</v>
      </c>
      <c r="AC11" s="44" t="n">
        <f aca="false">'P&amp;L 36 Months'!AC27</f>
        <v>18503.6664204611</v>
      </c>
      <c r="AD11" s="44" t="n">
        <f aca="false">'P&amp;L 36 Months'!AD27</f>
        <v>18854.72557813</v>
      </c>
      <c r="AE11" s="44" t="n">
        <f aca="false">'P&amp;L 36 Months'!AE27</f>
        <v>19186.1113412252</v>
      </c>
      <c r="AF11" s="44" t="n">
        <f aca="false">'P&amp;L 36 Months'!AF27</f>
        <v>20460.9057653512</v>
      </c>
      <c r="AG11" s="44" t="n">
        <f aca="false">'P&amp;L 36 Months'!AG27</f>
        <v>20758.0342861414</v>
      </c>
      <c r="AH11" s="44" t="n">
        <f aca="false">'P&amp;L 36 Months'!AH27</f>
        <v>25540.3179241567</v>
      </c>
      <c r="AI11" s="44" t="n">
        <f aca="false">'P&amp;L 36 Months'!AI27</f>
        <v>25618.8217018233</v>
      </c>
      <c r="AJ11" s="44" t="n">
        <f aca="false">'P&amp;L 36 Months'!AJ27</f>
        <v>25875.7110698666</v>
      </c>
      <c r="AK11" s="44" t="n">
        <f aca="false">'P&amp;L 36 Months'!AK27</f>
        <v>26121.5535355639</v>
      </c>
    </row>
    <row r="12" customFormat="false" ht="15" hidden="false" customHeight="true" outlineLevel="0" collapsed="false">
      <c r="A12" s="16" t="s">
        <v>558</v>
      </c>
      <c r="B12" s="50" t="n">
        <f aca="false">SUM(B10:B11)</f>
        <v>282268.115941604</v>
      </c>
      <c r="C12" s="50" t="n">
        <f aca="false">SUM(C10:C11)</f>
        <v>264556.231883208</v>
      </c>
      <c r="D12" s="50" t="n">
        <f aca="false">SUM(D10:D11)</f>
        <v>244364.547824812</v>
      </c>
      <c r="E12" s="50" t="n">
        <f aca="false">SUM(E10:E11)</f>
        <v>225456.954298949</v>
      </c>
      <c r="F12" s="50" t="n">
        <f aca="false">SUM(F10:F11)</f>
        <v>207217.512007977</v>
      </c>
      <c r="G12" s="50" t="n">
        <f aca="false">SUM(G10:G11)</f>
        <v>189595.076384051</v>
      </c>
      <c r="H12" s="50" t="n">
        <f aca="false">SUM(H10:H11)</f>
        <v>187444.516576874</v>
      </c>
      <c r="I12" s="50" t="n">
        <f aca="false">SUM(I10:I11)</f>
        <v>186320.730266367</v>
      </c>
      <c r="J12" s="50" t="n">
        <f aca="false">SUM(J10:J11)</f>
        <v>191643.953024239</v>
      </c>
      <c r="K12" s="50" t="n">
        <f aca="false">SUM(K10:K11)</f>
        <v>196958.960212509</v>
      </c>
      <c r="L12" s="50" t="n">
        <f aca="false">SUM(L10:L11)</f>
        <v>202877.925283197</v>
      </c>
      <c r="M12" s="50" t="n">
        <f aca="false">SUM(M10:M11)</f>
        <v>209357.949454319</v>
      </c>
      <c r="N12" s="50" t="n">
        <f aca="false">SUM(N10:N11)</f>
        <v>218121.363586178</v>
      </c>
      <c r="O12" s="50" t="n">
        <f aca="false">SUM(O10:O11)</f>
        <v>227400.493733577</v>
      </c>
      <c r="P12" s="50" t="n">
        <f aca="false">SUM(P10:P11)</f>
        <v>234660.012079563</v>
      </c>
      <c r="Q12" s="50" t="n">
        <f aca="false">SUM(Q10:Q11)</f>
        <v>243924.693745631</v>
      </c>
      <c r="R12" s="50" t="n">
        <f aca="false">SUM(R10:R11)</f>
        <v>253608.327296586</v>
      </c>
      <c r="S12" s="50" t="n">
        <f aca="false">SUM(S10:S11)</f>
        <v>263683.739519285</v>
      </c>
      <c r="T12" s="50" t="n">
        <f aca="false">SUM(T10:T11)</f>
        <v>275097.886946164</v>
      </c>
      <c r="U12" s="50" t="n">
        <f aca="false">SUM(U10:U11)</f>
        <v>287144.858398494</v>
      </c>
      <c r="V12" s="50" t="n">
        <f aca="false">SUM(V10:V11)</f>
        <v>304280.751664517</v>
      </c>
      <c r="W12" s="50" t="n">
        <f aca="false">SUM(W10:W11)</f>
        <v>321544.58370591</v>
      </c>
      <c r="X12" s="50" t="n">
        <f aca="false">SUM(X10:X11)</f>
        <v>339323.082246469</v>
      </c>
      <c r="Y12" s="50" t="n">
        <f aca="false">SUM(Y10:Y11)</f>
        <v>357582.520574501</v>
      </c>
      <c r="Z12" s="50" t="n">
        <f aca="false">SUM(Z10:Z11)</f>
        <v>376851.878488613</v>
      </c>
      <c r="AA12" s="50" t="n">
        <f aca="false">SUM(AA10:AA11)</f>
        <v>396543.039187234</v>
      </c>
      <c r="AB12" s="50" t="n">
        <f aca="false">SUM(AB10:AB11)</f>
        <v>414130.16084784</v>
      </c>
      <c r="AC12" s="50" t="n">
        <f aca="false">SUM(AC10:AC11)</f>
        <v>432633.827268301</v>
      </c>
      <c r="AD12" s="50" t="n">
        <f aca="false">SUM(AD10:AD11)</f>
        <v>451488.552846431</v>
      </c>
      <c r="AE12" s="50" t="n">
        <f aca="false">SUM(AE10:AE11)</f>
        <v>470674.664187657</v>
      </c>
      <c r="AF12" s="50" t="n">
        <f aca="false">SUM(AF10:AF11)</f>
        <v>491135.569953008</v>
      </c>
      <c r="AG12" s="50" t="n">
        <f aca="false">SUM(AG10:AG11)</f>
        <v>511893.604239149</v>
      </c>
      <c r="AH12" s="50" t="n">
        <f aca="false">SUM(AH10:AH11)</f>
        <v>537433.922163306</v>
      </c>
      <c r="AI12" s="50" t="n">
        <f aca="false">SUM(AI10:AI11)</f>
        <v>563052.743865129</v>
      </c>
      <c r="AJ12" s="50" t="n">
        <f aca="false">SUM(AJ10:AJ11)</f>
        <v>588928.454934996</v>
      </c>
      <c r="AK12" s="50" t="n">
        <f aca="false">SUM(AK10:AK11)</f>
        <v>615050.00847056</v>
      </c>
    </row>
    <row r="13" customFormat="false" ht="15" hidden="false" customHeight="true" outlineLevel="0" collapsed="false">
      <c r="A13" s="14" t="s">
        <v>559</v>
      </c>
      <c r="B13" s="57" t="n">
        <f aca="false">B11</f>
        <v>-17731.884058396</v>
      </c>
      <c r="C13" s="57" t="n">
        <f aca="false">B13+C11</f>
        <v>-35443.768116792</v>
      </c>
      <c r="D13" s="57" t="n">
        <f aca="false">C13+D11</f>
        <v>-55635.452175188</v>
      </c>
      <c r="E13" s="57" t="n">
        <f aca="false">D13+E11</f>
        <v>-74543.0457010513</v>
      </c>
      <c r="F13" s="57" t="n">
        <f aca="false">E13+F11</f>
        <v>-92782.4879920234</v>
      </c>
      <c r="G13" s="57" t="n">
        <f aca="false">F13+G11</f>
        <v>-110404.923615949</v>
      </c>
      <c r="H13" s="57" t="n">
        <f aca="false">G13+H11</f>
        <v>-112555.483423126</v>
      </c>
      <c r="I13" s="57" t="n">
        <f aca="false">H13+I11</f>
        <v>-113679.269733633</v>
      </c>
      <c r="J13" s="57" t="n">
        <f aca="false">I13+J11</f>
        <v>-108356.046975761</v>
      </c>
      <c r="K13" s="57" t="n">
        <f aca="false">J13+K11</f>
        <v>-103041.039787491</v>
      </c>
      <c r="L13" s="57" t="n">
        <f aca="false">K13+L11</f>
        <v>-97122.0747168034</v>
      </c>
      <c r="M13" s="57" t="n">
        <f aca="false">L13+M11</f>
        <v>-90642.0505456806</v>
      </c>
      <c r="N13" s="57" t="n">
        <f aca="false">M13+N11</f>
        <v>-81878.6364138218</v>
      </c>
      <c r="O13" s="57" t="n">
        <f aca="false">N13+O11</f>
        <v>-72599.5062664227</v>
      </c>
      <c r="P13" s="57" t="n">
        <f aca="false">O13+P11</f>
        <v>-65339.9879204367</v>
      </c>
      <c r="Q13" s="57" t="n">
        <f aca="false">P13+Q11</f>
        <v>-56075.3062543687</v>
      </c>
      <c r="R13" s="57" t="n">
        <f aca="false">Q13+R11</f>
        <v>-46391.6727034144</v>
      </c>
      <c r="S13" s="57" t="n">
        <f aca="false">R13+S11</f>
        <v>-36316.2604807148</v>
      </c>
      <c r="T13" s="57" t="n">
        <f aca="false">S13+T11</f>
        <v>-24902.1130538359</v>
      </c>
      <c r="U13" s="57" t="n">
        <f aca="false">T13+U11</f>
        <v>-12855.141601506</v>
      </c>
      <c r="V13" s="57" t="n">
        <f aca="false">U13+V11</f>
        <v>4280.751664517</v>
      </c>
      <c r="W13" s="57" t="n">
        <f aca="false">V13+W11</f>
        <v>21544.5837059104</v>
      </c>
      <c r="X13" s="57" t="n">
        <f aca="false">W13+X11</f>
        <v>39323.0822464686</v>
      </c>
      <c r="Y13" s="57" t="n">
        <f aca="false">X13+Y11</f>
        <v>57582.5205745008</v>
      </c>
      <c r="Z13" s="57" t="n">
        <f aca="false">Y13+Z11</f>
        <v>76851.8784886134</v>
      </c>
      <c r="AA13" s="57" t="n">
        <f aca="false">Z13+AA11</f>
        <v>96543.0391872336</v>
      </c>
      <c r="AB13" s="57" t="n">
        <f aca="false">AA13+AB11</f>
        <v>114130.16084784</v>
      </c>
      <c r="AC13" s="57" t="n">
        <f aca="false">AB13+AC11</f>
        <v>132633.827268301</v>
      </c>
      <c r="AD13" s="57" t="n">
        <f aca="false">AC13+AD11</f>
        <v>151488.552846431</v>
      </c>
      <c r="AE13" s="57" t="n">
        <f aca="false">AD13+AE11</f>
        <v>170674.664187657</v>
      </c>
      <c r="AF13" s="57" t="n">
        <f aca="false">AE13+AF11</f>
        <v>191135.569953008</v>
      </c>
      <c r="AG13" s="57" t="n">
        <f aca="false">AF13+AG11</f>
        <v>211893.604239149</v>
      </c>
      <c r="AH13" s="57" t="n">
        <f aca="false">AG13+AH11</f>
        <v>237433.922163306</v>
      </c>
      <c r="AI13" s="57" t="n">
        <f aca="false">AH13+AI11</f>
        <v>263052.743865129</v>
      </c>
      <c r="AJ13" s="57" t="n">
        <f aca="false">AI13+AJ11</f>
        <v>288928.454934996</v>
      </c>
      <c r="AK13" s="57" t="n">
        <f aca="false">AJ13+AK11</f>
        <v>315050.00847056</v>
      </c>
    </row>
    <row r="14" customFormat="false" ht="15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customFormat="false" ht="15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r="16" customFormat="false" ht="17.25" hidden="false" customHeight="true" outlineLevel="0" collapsed="false">
      <c r="A16" s="5" t="s">
        <v>560</v>
      </c>
      <c r="B16" s="5"/>
      <c r="C16" s="5"/>
      <c r="D16" s="5"/>
      <c r="E16" s="5"/>
      <c r="F16" s="5"/>
      <c r="G16" s="5"/>
      <c r="H16" s="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 customFormat="false" ht="15" hidden="false" customHeight="true" outlineLevel="0" collapsed="false">
      <c r="A17" s="14" t="s">
        <v>157</v>
      </c>
      <c r="B17" s="77" t="n">
        <f aca="false">Assumptions!$C$47</f>
        <v>300000</v>
      </c>
      <c r="C17" s="78"/>
      <c r="D17" s="78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customFormat="false" ht="15" hidden="false" customHeight="true" outlineLevel="0" collapsed="false">
      <c r="A18" s="14" t="s">
        <v>561</v>
      </c>
      <c r="B18" s="77" t="n">
        <f aca="false">-MIN(0,MIN(B13:M13))</f>
        <v>113679.269733633</v>
      </c>
      <c r="C18" s="78"/>
      <c r="D18" s="78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 customFormat="false" ht="15" hidden="false" customHeight="true" outlineLevel="0" collapsed="false">
      <c r="A19" s="14" t="s">
        <v>159</v>
      </c>
      <c r="B19" s="77" t="n">
        <f aca="false">Assumptions!$C$48</f>
        <v>15000</v>
      </c>
      <c r="C19" s="78"/>
      <c r="D19" s="78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 customFormat="false" ht="15" hidden="false" customHeight="true" outlineLevel="0" collapsed="false">
      <c r="A20" s="14" t="s">
        <v>562</v>
      </c>
      <c r="B20" s="77" t="n">
        <f aca="false">SUM(B18:B19)</f>
        <v>128679.269733633</v>
      </c>
      <c r="C20" s="78"/>
      <c r="D20" s="78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customFormat="false" ht="15" hidden="false" customHeight="true" outlineLevel="0" collapsed="false">
      <c r="A21" s="14" t="s">
        <v>563</v>
      </c>
      <c r="B21" s="77" t="n">
        <f aca="false">B17-B20</f>
        <v>171320.730266367</v>
      </c>
      <c r="C21" s="78"/>
      <c r="D21" s="78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customFormat="false" ht="15" hidden="false" customHeight="true" outlineLevel="0" collapsed="false">
      <c r="A22" s="14" t="s">
        <v>564</v>
      </c>
      <c r="B22" s="77" t="n">
        <f aca="false">M12</f>
        <v>209357.949454319</v>
      </c>
      <c r="C22" s="78"/>
      <c r="D22" s="78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customFormat="false" ht="15" hidden="false" customHeight="true" outlineLevel="0" collapsed="false">
      <c r="A23" s="14" t="s">
        <v>565</v>
      </c>
      <c r="B23" s="77" t="n">
        <f aca="false">-MIN(0,MIN(B13:S13))+Assumptions!$C$48</f>
        <v>128679.269733633</v>
      </c>
      <c r="C23" s="78"/>
      <c r="D23" s="78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customFormat="false" ht="15" hidden="false" customHeight="true" outlineLevel="0" collapsed="false">
      <c r="A24" s="14" t="s">
        <v>566</v>
      </c>
      <c r="B24" s="77" t="n">
        <f aca="false">B17-B23</f>
        <v>171320.730266367</v>
      </c>
      <c r="C24" s="78"/>
      <c r="D24" s="78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customFormat="false" ht="15" hidden="false" customHeight="true" outlineLevel="0" collapsed="false">
      <c r="A25" s="14" t="s">
        <v>567</v>
      </c>
      <c r="B25" s="78" t="str">
        <f aca="false">INDEX(B5:AK5,1,MATCH(MIN(B12:AK12),B12:AK12,0))</f>
        <v>M8</v>
      </c>
      <c r="C25" s="78"/>
      <c r="D25" s="78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customFormat="false" ht="15" hidden="false" customHeight="true" outlineLevel="0" collapsed="false">
      <c r="A26" s="14" t="s">
        <v>568</v>
      </c>
      <c r="B26" s="77" t="n">
        <f aca="false">MIN(B12:AK12)</f>
        <v>186320.730266367</v>
      </c>
      <c r="C26" s="78"/>
      <c r="D26" s="78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customFormat="false" ht="31.5" hidden="false" customHeight="true" outlineLevel="0" collapsed="false">
      <c r="A27" s="14" t="s">
        <v>22</v>
      </c>
      <c r="B27" s="79" t="str">
        <f aca="false">IF(B21&lt;0,"€300k insufficient for the Base proof plan",IF(B24&lt;0,"Base is funded; prepare follow-on before M18","Base is funded with headroom; Accelerated deployment remains conditional on gates"))</f>
        <v>Base is funded with headroom; Accelerated deployment remains conditional on gates</v>
      </c>
      <c r="C27" s="79"/>
      <c r="D27" s="79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customFormat="false" ht="1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customFormat="false" ht="15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customFormat="false" ht="1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customFormat="false" ht="15" hidden="false" customHeight="tru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customFormat="false" ht="1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customFormat="false" ht="15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customFormat="false" ht="15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customFormat="false" ht="15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customFormat="false" ht="15" hidden="false" customHeight="tru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customFormat="false" ht="1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customFormat="false" ht="15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customFormat="false" ht="15" hidden="false" customHeight="tru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customFormat="false" ht="15" hidden="false" customHeight="tru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customFormat="false" ht="15" hidden="false" customHeight="tru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customFormat="false" ht="15" hidden="false" customHeight="tru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customFormat="false" ht="1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customFormat="false" ht="15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customFormat="false" ht="15" hidden="false" customHeight="tru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customFormat="false" ht="15" hidden="false" customHeight="tru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customFormat="false" ht="1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customFormat="false" ht="15" hidden="false" customHeight="tru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customFormat="false" ht="15" hidden="false" customHeight="tru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customFormat="false" ht="15" hidden="false" customHeight="tru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customFormat="false" ht="15" hidden="false" customHeight="tru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customFormat="false" ht="15" hidden="false" customHeight="tru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customFormat="false" ht="15" hidden="false" customHeight="tru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customFormat="false" ht="15" hidden="false" customHeight="tru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customFormat="false" ht="15" hidden="false" customHeight="tru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customFormat="false" ht="15" hidden="false" customHeight="tru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customFormat="false" ht="1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 customFormat="false" ht="1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 customFormat="false" ht="1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 customFormat="false" ht="1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</sheetData>
  <mergeCells count="5">
    <mergeCell ref="A1:AK1"/>
    <mergeCell ref="A2:AK2"/>
    <mergeCell ref="A9:AK9"/>
    <mergeCell ref="A16:H16"/>
    <mergeCell ref="B27:D27"/>
  </mergeCells>
  <conditionalFormatting sqref="B12:AK12">
    <cfRule type="cellIs" priority="2" operator="lessThan" aboveAverage="0" equalAverage="0" bottom="0" percent="0" rank="0" text="" dxfId="0">
      <formula>0</formula>
    </cfRule>
  </conditionalFormatting>
  <conditionalFormatting sqref="B21:B24">
    <cfRule type="cellIs" priority="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.22"/>
    <col collapsed="false" customWidth="true" hidden="false" outlineLevel="0" max="10" min="2" style="1" width="13.34"/>
  </cols>
  <sheetData>
    <row r="1" customFormat="false" ht="25.5" hidden="false" customHeight="true" outlineLevel="0" collapsed="false">
      <c r="A1" s="2" t="s">
        <v>569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4" hidden="false" customHeight="true" outlineLevel="0" collapsed="false">
      <c r="A2" s="3" t="s">
        <v>570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</row>
    <row r="4" customFormat="false" ht="17.25" hidden="false" customHeight="true" outlineLevel="0" collapsed="false">
      <c r="A4" s="5" t="s">
        <v>571</v>
      </c>
      <c r="B4" s="5"/>
      <c r="C4" s="5"/>
      <c r="D4" s="5"/>
      <c r="E4" s="5"/>
      <c r="F4" s="4"/>
      <c r="G4" s="4"/>
      <c r="H4" s="4"/>
      <c r="I4" s="4"/>
      <c r="J4" s="4"/>
    </row>
    <row r="5" customFormat="false" ht="15" hidden="false" customHeight="true" outlineLevel="0" collapsed="false">
      <c r="A5" s="7" t="s">
        <v>4</v>
      </c>
      <c r="B5" s="8" t="s">
        <v>61</v>
      </c>
      <c r="C5" s="8" t="s">
        <v>53</v>
      </c>
      <c r="D5" s="8" t="s">
        <v>62</v>
      </c>
      <c r="E5" s="9" t="s">
        <v>572</v>
      </c>
      <c r="F5" s="4"/>
      <c r="G5" s="4"/>
      <c r="H5" s="4"/>
      <c r="I5" s="4"/>
      <c r="J5" s="4"/>
    </row>
    <row r="6" customFormat="false" ht="15" hidden="false" customHeight="true" outlineLevel="0" collapsed="false">
      <c r="A6" s="4" t="s">
        <v>573</v>
      </c>
      <c r="B6" s="23" t="n">
        <f aca="false">Assumptions!C12</f>
        <v>0.1</v>
      </c>
      <c r="C6" s="23" t="n">
        <f aca="false">Assumptions!D12</f>
        <v>0.08</v>
      </c>
      <c r="D6" s="23" t="n">
        <f aca="false">Assumptions!E12</f>
        <v>0.05</v>
      </c>
      <c r="E6" s="4" t="s">
        <v>574</v>
      </c>
      <c r="F6" s="4"/>
      <c r="G6" s="4"/>
      <c r="H6" s="4"/>
      <c r="I6" s="4"/>
      <c r="J6" s="4"/>
    </row>
    <row r="7" customFormat="false" ht="15" hidden="false" customHeight="true" outlineLevel="0" collapsed="false">
      <c r="A7" s="4" t="s">
        <v>575</v>
      </c>
      <c r="B7" s="40" t="n">
        <f aca="false">Assumptions!C16</f>
        <v>30</v>
      </c>
      <c r="C7" s="40" t="n">
        <f aca="false">Assumptions!D16</f>
        <v>22.4</v>
      </c>
      <c r="D7" s="40" t="n">
        <f aca="false">Assumptions!E16</f>
        <v>15</v>
      </c>
      <c r="E7" s="4" t="s">
        <v>576</v>
      </c>
      <c r="F7" s="4"/>
      <c r="G7" s="4"/>
      <c r="H7" s="4"/>
      <c r="I7" s="4"/>
      <c r="J7" s="4"/>
    </row>
    <row r="8" customFormat="false" ht="15" hidden="false" customHeight="true" outlineLevel="0" collapsed="false">
      <c r="A8" s="4" t="s">
        <v>577</v>
      </c>
      <c r="B8" s="40" t="n">
        <f aca="false">Assumptions!$C$37</f>
        <v>5.02049180327869</v>
      </c>
      <c r="C8" s="40" t="n">
        <f aca="false">Assumptions!$C$37</f>
        <v>5.02049180327869</v>
      </c>
      <c r="D8" s="40" t="n">
        <f aca="false">Assumptions!$C$37</f>
        <v>5.02049180327869</v>
      </c>
      <c r="E8" s="4" t="s">
        <v>578</v>
      </c>
      <c r="F8" s="4"/>
      <c r="G8" s="4"/>
      <c r="H8" s="4"/>
      <c r="I8" s="4"/>
      <c r="J8" s="4"/>
    </row>
    <row r="9" customFormat="false" ht="15" hidden="false" customHeight="true" outlineLevel="0" collapsed="false">
      <c r="A9" s="4" t="s">
        <v>579</v>
      </c>
      <c r="B9" s="40" t="n">
        <f aca="false">B8/B6</f>
        <v>50.2049180327869</v>
      </c>
      <c r="C9" s="40" t="n">
        <f aca="false">C8/C6</f>
        <v>62.7561475409836</v>
      </c>
      <c r="D9" s="40" t="n">
        <f aca="false">D8/D6</f>
        <v>100.409836065574</v>
      </c>
      <c r="E9" s="4" t="s">
        <v>580</v>
      </c>
      <c r="F9" s="4"/>
      <c r="G9" s="4"/>
      <c r="H9" s="4"/>
      <c r="I9" s="4"/>
      <c r="J9" s="4"/>
    </row>
    <row r="10" customFormat="false" ht="15" hidden="false" customHeight="true" outlineLevel="0" collapsed="false">
      <c r="A10" s="4" t="s">
        <v>581</v>
      </c>
      <c r="B10" s="39" t="n">
        <f aca="false">B9/B7</f>
        <v>1.67349726775956</v>
      </c>
      <c r="C10" s="39" t="n">
        <f aca="false">C9/C7</f>
        <v>2.8016137295082</v>
      </c>
      <c r="D10" s="39" t="n">
        <f aca="false">D9/D7</f>
        <v>6.69398907103825</v>
      </c>
      <c r="E10" s="4" t="s">
        <v>582</v>
      </c>
      <c r="F10" s="4"/>
      <c r="G10" s="4"/>
      <c r="H10" s="4"/>
      <c r="I10" s="4"/>
      <c r="J10" s="4"/>
    </row>
    <row r="11" customFormat="false" ht="15" hidden="false" customHeight="true" outlineLevel="0" collapsed="false">
      <c r="A11" s="4" t="s">
        <v>583</v>
      </c>
      <c r="B11" s="80" t="n">
        <f aca="false">B7/B8</f>
        <v>5.97551020408163</v>
      </c>
      <c r="C11" s="80" t="n">
        <f aca="false">C7/C8</f>
        <v>4.46171428571429</v>
      </c>
      <c r="D11" s="80" t="n">
        <f aca="false">D7/D8</f>
        <v>2.98775510204082</v>
      </c>
      <c r="E11" s="4" t="s">
        <v>584</v>
      </c>
      <c r="F11" s="4"/>
      <c r="G11" s="4"/>
      <c r="H11" s="4"/>
      <c r="I11" s="4"/>
      <c r="J11" s="4"/>
    </row>
    <row r="12" customFormat="false" ht="1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customFormat="false" ht="15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customFormat="false" ht="17.25" hidden="false" customHeight="true" outlineLevel="0" collapsed="false">
      <c r="A14" s="5" t="s">
        <v>585</v>
      </c>
      <c r="B14" s="5"/>
      <c r="C14" s="5"/>
      <c r="D14" s="5"/>
      <c r="E14" s="5"/>
      <c r="F14" s="4"/>
      <c r="G14" s="4"/>
      <c r="H14" s="4"/>
      <c r="I14" s="4"/>
      <c r="J14" s="4"/>
    </row>
    <row r="15" customFormat="false" ht="15" hidden="false" customHeight="true" outlineLevel="0" collapsed="false">
      <c r="A15" s="7" t="s">
        <v>586</v>
      </c>
      <c r="B15" s="81" t="n">
        <v>15</v>
      </c>
      <c r="C15" s="81" t="n">
        <v>22.4</v>
      </c>
      <c r="D15" s="81" t="n">
        <v>30</v>
      </c>
      <c r="E15" s="9" t="s">
        <v>587</v>
      </c>
      <c r="F15" s="4"/>
      <c r="G15" s="4"/>
      <c r="H15" s="4"/>
      <c r="I15" s="4"/>
      <c r="J15" s="4"/>
    </row>
    <row r="16" customFormat="false" ht="15" hidden="false" customHeight="true" outlineLevel="0" collapsed="false">
      <c r="A16" s="23" t="n">
        <v>0.05</v>
      </c>
      <c r="B16" s="39" t="n">
        <f aca="false">(Assumptions!$C$37/$A16)/B$15</f>
        <v>6.69398907103825</v>
      </c>
      <c r="C16" s="39" t="n">
        <f aca="false">(Assumptions!$C$37/$A16)/C$15</f>
        <v>4.48258196721312</v>
      </c>
      <c r="D16" s="39" t="n">
        <f aca="false">(Assumptions!$C$37/$A16)/D$15</f>
        <v>3.34699453551913</v>
      </c>
      <c r="E16" s="4" t="s">
        <v>588</v>
      </c>
      <c r="F16" s="4"/>
      <c r="G16" s="4"/>
      <c r="H16" s="4"/>
      <c r="I16" s="4"/>
      <c r="J16" s="4"/>
    </row>
    <row r="17" customFormat="false" ht="15" hidden="false" customHeight="true" outlineLevel="0" collapsed="false">
      <c r="A17" s="23" t="n">
        <v>0.08</v>
      </c>
      <c r="B17" s="39" t="n">
        <f aca="false">(Assumptions!$C$37/$A17)/B$15</f>
        <v>4.18374316939891</v>
      </c>
      <c r="C17" s="39" t="n">
        <f aca="false">(Assumptions!$C$37/$A17)/C$15</f>
        <v>2.8016137295082</v>
      </c>
      <c r="D17" s="39" t="n">
        <f aca="false">(Assumptions!$C$37/$A17)/D$15</f>
        <v>2.09187158469945</v>
      </c>
      <c r="E17" s="4" t="s">
        <v>589</v>
      </c>
      <c r="F17" s="4"/>
      <c r="G17" s="4"/>
      <c r="H17" s="4"/>
      <c r="I17" s="4"/>
      <c r="J17" s="4"/>
    </row>
    <row r="18" customFormat="false" ht="15" hidden="false" customHeight="true" outlineLevel="0" collapsed="false">
      <c r="A18" s="23" t="n">
        <v>0.1</v>
      </c>
      <c r="B18" s="39" t="n">
        <f aca="false">(Assumptions!$C$37/$A18)/B$15</f>
        <v>3.34699453551913</v>
      </c>
      <c r="C18" s="39" t="n">
        <f aca="false">(Assumptions!$C$37/$A18)/C$15</f>
        <v>2.24129098360656</v>
      </c>
      <c r="D18" s="39" t="n">
        <f aca="false">(Assumptions!$C$37/$A18)/D$15</f>
        <v>1.67349726775956</v>
      </c>
      <c r="E18" s="4" t="s">
        <v>590</v>
      </c>
      <c r="F18" s="4"/>
      <c r="G18" s="4"/>
      <c r="H18" s="4"/>
      <c r="I18" s="4"/>
      <c r="J18" s="4"/>
    </row>
    <row r="19" customFormat="false" ht="15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customFormat="false" ht="1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customFormat="false" ht="17.25" hidden="false" customHeight="true" outlineLevel="0" collapsed="false">
      <c r="A21" s="5" t="s">
        <v>591</v>
      </c>
      <c r="B21" s="5"/>
      <c r="C21" s="5"/>
      <c r="D21" s="5"/>
      <c r="E21" s="5"/>
      <c r="F21" s="4"/>
      <c r="G21" s="4"/>
      <c r="H21" s="4"/>
      <c r="I21" s="4"/>
      <c r="J21" s="4"/>
    </row>
    <row r="22" customFormat="false" ht="15" hidden="false" customHeight="true" outlineLevel="0" collapsed="false">
      <c r="A22" s="7" t="s">
        <v>592</v>
      </c>
      <c r="B22" s="8" t="s">
        <v>61</v>
      </c>
      <c r="C22" s="8" t="s">
        <v>53</v>
      </c>
      <c r="D22" s="8" t="s">
        <v>62</v>
      </c>
      <c r="E22" s="9" t="s">
        <v>593</v>
      </c>
      <c r="F22" s="4"/>
      <c r="G22" s="4"/>
      <c r="H22" s="4"/>
      <c r="I22" s="4"/>
      <c r="J22" s="4"/>
    </row>
    <row r="23" customFormat="false" ht="15" hidden="false" customHeight="true" outlineLevel="0" collapsed="false">
      <c r="A23" s="4" t="s">
        <v>594</v>
      </c>
      <c r="B23" s="22" t="n">
        <f aca="false">Assumptions!$C$42*Assumptions!C9</f>
        <v>210</v>
      </c>
      <c r="C23" s="22" t="n">
        <f aca="false">Assumptions!$C$42*Assumptions!D9</f>
        <v>420</v>
      </c>
      <c r="D23" s="22" t="n">
        <f aca="false">Assumptions!$C$42*Assumptions!E9</f>
        <v>840</v>
      </c>
      <c r="E23" s="4" t="s">
        <v>595</v>
      </c>
      <c r="F23" s="4"/>
      <c r="G23" s="4"/>
      <c r="H23" s="4"/>
      <c r="I23" s="4"/>
      <c r="J23" s="4"/>
    </row>
    <row r="24" customFormat="false" ht="15" hidden="false" customHeight="true" outlineLevel="0" collapsed="false">
      <c r="A24" s="4" t="s">
        <v>596</v>
      </c>
      <c r="B24" s="22" t="n">
        <f aca="false">1000*Assumptions!C10</f>
        <v>70</v>
      </c>
      <c r="C24" s="22" t="n">
        <f aca="false">1000*Assumptions!D10</f>
        <v>100</v>
      </c>
      <c r="D24" s="22" t="n">
        <f aca="false">1000*Assumptions!E10</f>
        <v>150</v>
      </c>
      <c r="E24" s="4" t="s">
        <v>597</v>
      </c>
      <c r="F24" s="4"/>
      <c r="G24" s="4"/>
      <c r="H24" s="4"/>
      <c r="I24" s="4"/>
      <c r="J24" s="4"/>
    </row>
    <row r="25" customFormat="false" ht="15" hidden="false" customHeight="true" outlineLevel="0" collapsed="false">
      <c r="A25" s="4" t="s">
        <v>73</v>
      </c>
      <c r="B25" s="23" t="n">
        <f aca="false">Assumptions!C11</f>
        <v>0.25</v>
      </c>
      <c r="C25" s="23" t="n">
        <f aca="false">Assumptions!D11</f>
        <v>0.3</v>
      </c>
      <c r="D25" s="23" t="n">
        <f aca="false">Assumptions!E11</f>
        <v>0.35</v>
      </c>
      <c r="E25" s="4" t="s">
        <v>598</v>
      </c>
      <c r="F25" s="4"/>
      <c r="G25" s="4"/>
      <c r="H25" s="4"/>
      <c r="I25" s="4"/>
      <c r="J25" s="4"/>
    </row>
    <row r="26" customFormat="false" ht="15" hidden="false" customHeight="true" outlineLevel="0" collapsed="false">
      <c r="A26" s="4" t="s">
        <v>599</v>
      </c>
      <c r="B26" s="23" t="n">
        <f aca="false">Assumptions!C14</f>
        <v>0.0893</v>
      </c>
      <c r="C26" s="23" t="n">
        <f aca="false">Assumptions!D14</f>
        <v>0.1</v>
      </c>
      <c r="D26" s="23" t="n">
        <f aca="false">Assumptions!E14</f>
        <v>0.15</v>
      </c>
      <c r="E26" s="4" t="s">
        <v>600</v>
      </c>
      <c r="F26" s="4"/>
      <c r="G26" s="4"/>
      <c r="H26" s="4"/>
      <c r="I26" s="4"/>
      <c r="J26" s="4"/>
    </row>
    <row r="27" customFormat="false" ht="15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customFormat="false" ht="1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customFormat="false" ht="17.25" hidden="false" customHeight="true" outlineLevel="0" collapsed="false">
      <c r="A29" s="5" t="s">
        <v>601</v>
      </c>
      <c r="B29" s="5"/>
      <c r="C29" s="5"/>
      <c r="D29" s="5"/>
      <c r="E29" s="5"/>
      <c r="F29" s="5"/>
      <c r="G29" s="5"/>
      <c r="H29" s="5"/>
      <c r="I29" s="5"/>
      <c r="J29" s="5"/>
    </row>
    <row r="30" customFormat="false" ht="24.75" hidden="false" customHeight="true" outlineLevel="0" collapsed="false">
      <c r="A30" s="7" t="s">
        <v>4</v>
      </c>
      <c r="B30" s="8" t="s">
        <v>602</v>
      </c>
      <c r="C30" s="8" t="s">
        <v>112</v>
      </c>
      <c r="D30" s="8" t="s">
        <v>603</v>
      </c>
      <c r="E30" s="8" t="s">
        <v>396</v>
      </c>
      <c r="F30" s="8" t="s">
        <v>514</v>
      </c>
      <c r="G30" s="8"/>
      <c r="H30" s="8"/>
      <c r="I30" s="8"/>
      <c r="J30" s="9"/>
    </row>
    <row r="31" customFormat="false" ht="34.5" hidden="false" customHeight="true" outlineLevel="0" collapsed="false">
      <c r="A31" s="25" t="s">
        <v>604</v>
      </c>
      <c r="B31" s="25" t="str">
        <f aca="false">Assumptions!E5</f>
        <v>Test</v>
      </c>
      <c r="C31" s="25"/>
      <c r="D31" s="25" t="s">
        <v>605</v>
      </c>
      <c r="E31" s="25" t="s">
        <v>606</v>
      </c>
      <c r="F31" s="25" t="s">
        <v>607</v>
      </c>
      <c r="G31" s="25"/>
      <c r="H31" s="25"/>
      <c r="I31" s="25"/>
      <c r="J31" s="25"/>
    </row>
    <row r="32" customFormat="false" ht="45.75" hidden="false" customHeight="true" outlineLevel="0" collapsed="false">
      <c r="A32" s="25" t="s">
        <v>608</v>
      </c>
      <c r="B32" s="82" t="n">
        <f aca="false">Assumptions!C68</f>
        <v>22.4</v>
      </c>
      <c r="C32" s="25"/>
      <c r="D32" s="25" t="s">
        <v>609</v>
      </c>
      <c r="E32" s="25" t="s">
        <v>610</v>
      </c>
      <c r="F32" s="25" t="s">
        <v>611</v>
      </c>
      <c r="G32" s="25"/>
      <c r="H32" s="25"/>
      <c r="I32" s="25"/>
      <c r="J32" s="25"/>
    </row>
    <row r="33" customFormat="false" ht="34.5" hidden="false" customHeight="true" outlineLevel="0" collapsed="false">
      <c r="A33" s="25" t="s">
        <v>38</v>
      </c>
      <c r="B33" s="35" t="n">
        <f aca="false">Assumptions!C69</f>
        <v>0.08</v>
      </c>
      <c r="C33" s="25"/>
      <c r="D33" s="25" t="s">
        <v>612</v>
      </c>
      <c r="E33" s="25" t="s">
        <v>613</v>
      </c>
      <c r="F33" s="25" t="s">
        <v>614</v>
      </c>
      <c r="G33" s="25"/>
      <c r="H33" s="25"/>
      <c r="I33" s="25"/>
      <c r="J33" s="25"/>
    </row>
    <row r="34" customFormat="false" ht="34.5" hidden="false" customHeight="true" outlineLevel="0" collapsed="false">
      <c r="A34" s="25" t="s">
        <v>581</v>
      </c>
      <c r="B34" s="83" t="n">
        <f aca="false">Assumptions!C70</f>
        <v>2.8016137295082</v>
      </c>
      <c r="C34" s="25"/>
      <c r="D34" s="25" t="s">
        <v>615</v>
      </c>
      <c r="E34" s="25" t="s">
        <v>616</v>
      </c>
      <c r="F34" s="25" t="s">
        <v>617</v>
      </c>
      <c r="G34" s="25"/>
      <c r="H34" s="25"/>
      <c r="I34" s="25"/>
      <c r="J34" s="25"/>
    </row>
    <row r="35" customFormat="false" ht="68.25" hidden="false" customHeight="true" outlineLevel="0" collapsed="false">
      <c r="A35" s="25" t="s">
        <v>618</v>
      </c>
      <c r="B35" s="25" t="s">
        <v>619</v>
      </c>
      <c r="C35" s="25" t="s">
        <v>620</v>
      </c>
      <c r="D35" s="25" t="s">
        <v>621</v>
      </c>
      <c r="E35" s="25" t="s">
        <v>622</v>
      </c>
      <c r="F35" s="25" t="s">
        <v>623</v>
      </c>
      <c r="G35" s="25"/>
      <c r="H35" s="25"/>
      <c r="I35" s="25"/>
      <c r="J35" s="25"/>
    </row>
    <row r="36" customFormat="false" ht="34.5" hidden="false" customHeight="true" outlineLevel="0" collapsed="false">
      <c r="A36" s="25" t="s">
        <v>624</v>
      </c>
      <c r="B36" s="25" t="str">
        <f aca="false">IF(AND(Assumptions!C68&lt;=20,Assumptions!C69&lt;=6%,Assumptions!C70&gt;=3),"PASS","NOT YET")</f>
        <v>NOT YET</v>
      </c>
      <c r="C36" s="25"/>
      <c r="D36" s="25" t="s">
        <v>625</v>
      </c>
      <c r="E36" s="25" t="s">
        <v>626</v>
      </c>
      <c r="F36" s="25" t="s">
        <v>627</v>
      </c>
      <c r="G36" s="25"/>
      <c r="H36" s="25"/>
      <c r="I36" s="25"/>
      <c r="J36" s="25"/>
    </row>
    <row r="37" customFormat="false" ht="1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customFormat="false" ht="15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</row>
  </sheetData>
  <mergeCells count="6">
    <mergeCell ref="A1:J1"/>
    <mergeCell ref="A2:J2"/>
    <mergeCell ref="A4:E4"/>
    <mergeCell ref="A14:E14"/>
    <mergeCell ref="A21:E21"/>
    <mergeCell ref="A29:J29"/>
  </mergeCells>
  <conditionalFormatting sqref="B16:D18">
    <cfRule type="colorScale" priority="2">
      <colorScale>
        <cfvo type="min" val="0"/>
        <cfvo type="percentile" val="50"/>
        <cfvo type="max" val="0"/>
        <color rgb="FFFCE8E6"/>
        <color rgb="FFFFF2CC"/>
        <color rgb="FFE2F0D9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2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  <col collapsed="false" customWidth="true" hidden="false" outlineLevel="0" max="5" min="5" style="0" width="32"/>
    <col collapsed="false" customWidth="true" hidden="false" outlineLevel="0" max="7" min="6" style="0" width="18"/>
    <col collapsed="false" customWidth="true" hidden="false" outlineLevel="0" max="25" min="8" style="0" width="11"/>
  </cols>
  <sheetData>
    <row r="1" customFormat="false" ht="33.75" hidden="false" customHeight="true" outlineLevel="0" collapsed="false">
      <c r="A1" s="60" t="s">
        <v>628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</row>
    <row r="2" customFormat="false" ht="33.75" hidden="false" customHeight="true" outlineLevel="0" collapsed="false">
      <c r="A2" s="61" t="s">
        <v>629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</row>
    <row r="4" customFormat="false" ht="22.5" hidden="false" customHeight="true" outlineLevel="0" collapsed="false">
      <c r="A4" s="62" t="s">
        <v>630</v>
      </c>
      <c r="B4" s="62"/>
      <c r="C4" s="62"/>
      <c r="D4" s="62"/>
      <c r="E4" s="62"/>
      <c r="F4" s="62"/>
      <c r="G4" s="62"/>
    </row>
    <row r="5" customFormat="false" ht="15" hidden="false" customHeight="false" outlineLevel="0" collapsed="false">
      <c r="A5" s="63" t="s">
        <v>24</v>
      </c>
      <c r="B5" s="63" t="s">
        <v>53</v>
      </c>
      <c r="C5" s="63" t="s">
        <v>631</v>
      </c>
      <c r="D5" s="63" t="s">
        <v>632</v>
      </c>
      <c r="E5" s="63" t="s">
        <v>633</v>
      </c>
      <c r="F5" s="63" t="s">
        <v>634</v>
      </c>
      <c r="G5" s="63" t="s">
        <v>635</v>
      </c>
    </row>
    <row r="6" customFormat="false" ht="15" hidden="false" customHeight="false" outlineLevel="0" collapsed="false">
      <c r="A6" s="64" t="s">
        <v>636</v>
      </c>
      <c r="B6" s="84" t="n">
        <f aca="false">'AI Cohorts'!M26</f>
        <v>2079.28716695379</v>
      </c>
      <c r="C6" s="84" t="n">
        <f aca="false">M30</f>
        <v>3261.83576661019</v>
      </c>
      <c r="D6" s="84" t="n">
        <f aca="false">C6-B6</f>
        <v>1182.5485996564</v>
      </c>
      <c r="E6" s="64" t="s">
        <v>637</v>
      </c>
      <c r="F6" s="64" t="s">
        <v>638</v>
      </c>
      <c r="G6" s="64" t="s">
        <v>639</v>
      </c>
    </row>
    <row r="7" customFormat="false" ht="15" hidden="false" customHeight="false" outlineLevel="0" collapsed="false">
      <c r="A7" s="67" t="s">
        <v>640</v>
      </c>
      <c r="B7" s="85" t="n">
        <f aca="false">'AI Cohorts'!Y26</f>
        <v>3999.93895103302</v>
      </c>
      <c r="C7" s="85" t="n">
        <f aca="false">Y30</f>
        <v>4736.06285383355</v>
      </c>
      <c r="D7" s="85" t="n">
        <f aca="false">C7-B7</f>
        <v>736.123902800532</v>
      </c>
      <c r="E7" s="67" t="s">
        <v>641</v>
      </c>
      <c r="F7" s="67" t="s">
        <v>638</v>
      </c>
      <c r="G7" s="67" t="s">
        <v>252</v>
      </c>
    </row>
    <row r="8" customFormat="false" ht="15" hidden="false" customHeight="false" outlineLevel="0" collapsed="false">
      <c r="A8" s="64" t="s">
        <v>642</v>
      </c>
      <c r="B8" s="65" t="n">
        <f aca="false">SUM('AI Cohorts'!B32:M32)</f>
        <v>121142.092260661</v>
      </c>
      <c r="C8" s="65" t="n">
        <f aca="false">SUM(B34:M34)</f>
        <v>170189.659711997</v>
      </c>
      <c r="D8" s="65" t="n">
        <f aca="false">C8-B8</f>
        <v>49047.5674513359</v>
      </c>
      <c r="E8" s="64" t="s">
        <v>643</v>
      </c>
      <c r="F8" s="64" t="s">
        <v>644</v>
      </c>
      <c r="G8" s="64" t="s">
        <v>645</v>
      </c>
    </row>
    <row r="9" customFormat="false" ht="15" hidden="false" customHeight="false" outlineLevel="0" collapsed="false">
      <c r="A9" s="67" t="s">
        <v>646</v>
      </c>
      <c r="B9" s="68" t="n">
        <f aca="false">SUM('AI Cohorts'!N32:Y32)</f>
        <v>337997.875323911</v>
      </c>
      <c r="C9" s="68" t="n">
        <f aca="false">SUM(N34:Y34)</f>
        <v>422019.189261271</v>
      </c>
      <c r="D9" s="68" t="n">
        <f aca="false">C9-B9</f>
        <v>84021.3139373598</v>
      </c>
      <c r="E9" s="67" t="s">
        <v>647</v>
      </c>
      <c r="F9" s="67" t="s">
        <v>644</v>
      </c>
      <c r="G9" s="67" t="s">
        <v>645</v>
      </c>
    </row>
    <row r="10" customFormat="false" ht="15" hidden="false" customHeight="false" outlineLevel="0" collapsed="false">
      <c r="A10" s="64" t="s">
        <v>648</v>
      </c>
      <c r="B10" s="65" t="n">
        <f aca="false">SUM('AI Cohorts'!H13:S13)</f>
        <v>48000</v>
      </c>
      <c r="C10" s="65" t="n">
        <f aca="false">SUM(H16:S17)</f>
        <v>70000</v>
      </c>
      <c r="D10" s="65" t="n">
        <f aca="false">C10-B10</f>
        <v>22000</v>
      </c>
      <c r="E10" s="64" t="s">
        <v>649</v>
      </c>
      <c r="F10" s="64" t="s">
        <v>650</v>
      </c>
      <c r="G10" s="64" t="s">
        <v>651</v>
      </c>
    </row>
    <row r="11" customFormat="false" ht="15" hidden="false" customHeight="false" outlineLevel="0" collapsed="false">
      <c r="A11" s="67" t="s">
        <v>573</v>
      </c>
      <c r="B11" s="69" t="n">
        <f aca="false">Assumptions!D12</f>
        <v>0.08</v>
      </c>
      <c r="C11" s="69" t="n">
        <f aca="false">Assumptions!C67</f>
        <v>0.06</v>
      </c>
      <c r="D11" s="69" t="n">
        <f aca="false">C11-B11</f>
        <v>-0.02</v>
      </c>
      <c r="E11" s="67" t="s">
        <v>652</v>
      </c>
      <c r="F11" s="67" t="s">
        <v>653</v>
      </c>
      <c r="G11" s="67" t="s">
        <v>654</v>
      </c>
    </row>
    <row r="12" customFormat="false" ht="22.5" hidden="false" customHeight="true" outlineLevel="0" collapsed="false">
      <c r="A12" s="62" t="s">
        <v>655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</row>
    <row r="13" customFormat="false" ht="15" hidden="false" customHeight="false" outlineLevel="0" collapsed="false">
      <c r="A13" s="73" t="s">
        <v>4</v>
      </c>
      <c r="B13" s="73" t="s">
        <v>287</v>
      </c>
      <c r="C13" s="73" t="s">
        <v>288</v>
      </c>
      <c r="D13" s="73" t="s">
        <v>289</v>
      </c>
      <c r="E13" s="73" t="s">
        <v>290</v>
      </c>
      <c r="F13" s="73" t="s">
        <v>291</v>
      </c>
      <c r="G13" s="73" t="s">
        <v>292</v>
      </c>
      <c r="H13" s="73" t="s">
        <v>293</v>
      </c>
      <c r="I13" s="73" t="s">
        <v>294</v>
      </c>
      <c r="J13" s="73" t="s">
        <v>295</v>
      </c>
      <c r="K13" s="73" t="s">
        <v>296</v>
      </c>
      <c r="L13" s="73" t="s">
        <v>297</v>
      </c>
      <c r="M13" s="73" t="s">
        <v>298</v>
      </c>
      <c r="N13" s="73" t="s">
        <v>299</v>
      </c>
      <c r="O13" s="73" t="s">
        <v>300</v>
      </c>
      <c r="P13" s="73" t="s">
        <v>301</v>
      </c>
      <c r="Q13" s="73" t="s">
        <v>302</v>
      </c>
      <c r="R13" s="73" t="s">
        <v>303</v>
      </c>
      <c r="S13" s="73" t="s">
        <v>304</v>
      </c>
      <c r="T13" s="73" t="s">
        <v>305</v>
      </c>
      <c r="U13" s="73" t="s">
        <v>306</v>
      </c>
      <c r="V13" s="73" t="s">
        <v>307</v>
      </c>
      <c r="W13" s="73" t="s">
        <v>308</v>
      </c>
      <c r="X13" s="73" t="s">
        <v>309</v>
      </c>
      <c r="Y13" s="73" t="s">
        <v>310</v>
      </c>
    </row>
    <row r="14" customFormat="false" ht="15" hidden="false" customHeight="false" outlineLevel="0" collapsed="false">
      <c r="A14" s="86" t="s">
        <v>656</v>
      </c>
      <c r="B14" s="87" t="n">
        <f aca="false">IF(AND(1&gt;=Assumptions!$C$49,1&lt;Assumptions!$C$49+Assumptions!$C$52),Assumptions!$C$42*Assumptions!$D$9/Assumptions!$C$52,0)</f>
        <v>0</v>
      </c>
      <c r="C14" s="87" t="n">
        <f aca="false">IF(AND(2&gt;=Assumptions!$C$49,2&lt;Assumptions!$C$49+Assumptions!$C$52),Assumptions!$C$42*Assumptions!$D$9/Assumptions!$C$52,0)</f>
        <v>0</v>
      </c>
      <c r="D14" s="87" t="n">
        <f aca="false">IF(AND(3&gt;=Assumptions!$C$49,3&lt;Assumptions!$C$49+Assumptions!$C$52),Assumptions!$C$42*Assumptions!$D$9/Assumptions!$C$52,0)</f>
        <v>0</v>
      </c>
      <c r="E14" s="87" t="n">
        <f aca="false">IF(AND(4&gt;=Assumptions!$C$49,4&lt;Assumptions!$C$49+Assumptions!$C$52),Assumptions!$C$42*Assumptions!$D$9/Assumptions!$C$52,0)</f>
        <v>70</v>
      </c>
      <c r="F14" s="87" t="n">
        <f aca="false">IF(AND(5&gt;=Assumptions!$C$49,5&lt;Assumptions!$C$49+Assumptions!$C$52),Assumptions!$C$42*Assumptions!$D$9/Assumptions!$C$52,0)</f>
        <v>70</v>
      </c>
      <c r="G14" s="87" t="n">
        <f aca="false">IF(AND(6&gt;=Assumptions!$C$49,6&lt;Assumptions!$C$49+Assumptions!$C$52),Assumptions!$C$42*Assumptions!$D$9/Assumptions!$C$52,0)</f>
        <v>70</v>
      </c>
      <c r="H14" s="87" t="n">
        <f aca="false">IF(AND(7&gt;=Assumptions!$C$49,7&lt;Assumptions!$C$49+Assumptions!$C$52),Assumptions!$C$42*Assumptions!$D$9/Assumptions!$C$52,0)</f>
        <v>70</v>
      </c>
      <c r="I14" s="87" t="n">
        <f aca="false">IF(AND(8&gt;=Assumptions!$C$49,8&lt;Assumptions!$C$49+Assumptions!$C$52),Assumptions!$C$42*Assumptions!$D$9/Assumptions!$C$52,0)</f>
        <v>70</v>
      </c>
      <c r="J14" s="87" t="n">
        <f aca="false">IF(AND(9&gt;=Assumptions!$C$49,9&lt;Assumptions!$C$49+Assumptions!$C$52),Assumptions!$C$42*Assumptions!$D$9/Assumptions!$C$52,0)</f>
        <v>70</v>
      </c>
      <c r="K14" s="87" t="n">
        <f aca="false">IF(AND(10&gt;=Assumptions!$C$49,10&lt;Assumptions!$C$49+Assumptions!$C$52),Assumptions!$C$42*Assumptions!$D$9/Assumptions!$C$52,0)</f>
        <v>0</v>
      </c>
      <c r="L14" s="87" t="n">
        <f aca="false">IF(AND(11&gt;=Assumptions!$C$49,11&lt;Assumptions!$C$49+Assumptions!$C$52),Assumptions!$C$42*Assumptions!$D$9/Assumptions!$C$52,0)</f>
        <v>0</v>
      </c>
      <c r="M14" s="87" t="n">
        <f aca="false">IF(AND(12&gt;=Assumptions!$C$49,12&lt;Assumptions!$C$49+Assumptions!$C$52),Assumptions!$C$42*Assumptions!$D$9/Assumptions!$C$52,0)</f>
        <v>0</v>
      </c>
      <c r="N14" s="87" t="n">
        <f aca="false">IF(AND(13&gt;=Assumptions!$C$49,13&lt;Assumptions!$C$49+Assumptions!$C$52),Assumptions!$C$42*Assumptions!$D$9/Assumptions!$C$52,0)</f>
        <v>0</v>
      </c>
      <c r="O14" s="87" t="n">
        <f aca="false">IF(AND(14&gt;=Assumptions!$C$49,14&lt;Assumptions!$C$49+Assumptions!$C$52),Assumptions!$C$42*Assumptions!$D$9/Assumptions!$C$52,0)</f>
        <v>0</v>
      </c>
      <c r="P14" s="87" t="n">
        <f aca="false">IF(AND(15&gt;=Assumptions!$C$49,15&lt;Assumptions!$C$49+Assumptions!$C$52),Assumptions!$C$42*Assumptions!$D$9/Assumptions!$C$52,0)</f>
        <v>0</v>
      </c>
      <c r="Q14" s="87" t="n">
        <f aca="false">IF(AND(16&gt;=Assumptions!$C$49,16&lt;Assumptions!$C$49+Assumptions!$C$52),Assumptions!$C$42*Assumptions!$D$9/Assumptions!$C$52,0)</f>
        <v>0</v>
      </c>
      <c r="R14" s="87" t="n">
        <f aca="false">IF(AND(17&gt;=Assumptions!$C$49,17&lt;Assumptions!$C$49+Assumptions!$C$52),Assumptions!$C$42*Assumptions!$D$9/Assumptions!$C$52,0)</f>
        <v>0</v>
      </c>
      <c r="S14" s="87" t="n">
        <f aca="false">IF(AND(18&gt;=Assumptions!$C$49,18&lt;Assumptions!$C$49+Assumptions!$C$52),Assumptions!$C$42*Assumptions!$D$9/Assumptions!$C$52,0)</f>
        <v>0</v>
      </c>
      <c r="T14" s="87" t="n">
        <f aca="false">IF(AND(19&gt;=Assumptions!$C$49,19&lt;Assumptions!$C$49+Assumptions!$C$52),Assumptions!$C$42*Assumptions!$D$9/Assumptions!$C$52,0)</f>
        <v>0</v>
      </c>
      <c r="U14" s="87" t="n">
        <f aca="false">IF(AND(20&gt;=Assumptions!$C$49,20&lt;Assumptions!$C$49+Assumptions!$C$52),Assumptions!$C$42*Assumptions!$D$9/Assumptions!$C$52,0)</f>
        <v>0</v>
      </c>
      <c r="V14" s="87" t="n">
        <f aca="false">IF(AND(21&gt;=Assumptions!$C$49,21&lt;Assumptions!$C$49+Assumptions!$C$52),Assumptions!$C$42*Assumptions!$D$9/Assumptions!$C$52,0)</f>
        <v>0</v>
      </c>
      <c r="W14" s="87" t="n">
        <f aca="false">IF(AND(22&gt;=Assumptions!$C$49,22&lt;Assumptions!$C$49+Assumptions!$C$52),Assumptions!$C$42*Assumptions!$D$9/Assumptions!$C$52,0)</f>
        <v>0</v>
      </c>
      <c r="X14" s="87" t="n">
        <f aca="false">IF(AND(23&gt;=Assumptions!$C$49,23&lt;Assumptions!$C$49+Assumptions!$C$52),Assumptions!$C$42*Assumptions!$D$9/Assumptions!$C$52,0)</f>
        <v>0</v>
      </c>
      <c r="Y14" s="87" t="n">
        <f aca="false">IF(AND(24&gt;=Assumptions!$C$49,24&lt;Assumptions!$C$49+Assumptions!$C$52),Assumptions!$C$42*Assumptions!$D$9/Assumptions!$C$52,0)</f>
        <v>0</v>
      </c>
    </row>
    <row r="15" customFormat="false" ht="15" hidden="false" customHeight="false" outlineLevel="0" collapsed="false">
      <c r="A15" s="86" t="s">
        <v>657</v>
      </c>
      <c r="B15" s="88" t="n">
        <f aca="false">IF(1&lt;Assumptions!$C$49,0,'Physical Business'!B15*Assumptions!$D$10)</f>
        <v>0</v>
      </c>
      <c r="C15" s="88" t="n">
        <f aca="false">IF(2&lt;Assumptions!$C$49,0,'Physical Business'!C15*Assumptions!$D$10)</f>
        <v>0</v>
      </c>
      <c r="D15" s="88" t="n">
        <f aca="false">IF(3&lt;Assumptions!$C$49,0,'Physical Business'!D15*Assumptions!$D$10)</f>
        <v>0</v>
      </c>
      <c r="E15" s="88" t="n">
        <f aca="false">IF(4&lt;Assumptions!$C$49,0,'Physical Business'!E15*Assumptions!$D$10)</f>
        <v>79.8682273913043</v>
      </c>
      <c r="F15" s="88" t="n">
        <f aca="false">IF(5&lt;Assumptions!$C$49,0,'Physical Business'!F15*Assumptions!$D$10)</f>
        <v>79.9712574913044</v>
      </c>
      <c r="G15" s="88" t="n">
        <f aca="false">IF(6&lt;Assumptions!$C$49,0,'Physical Business'!G15*Assumptions!$D$10)</f>
        <v>80.0753178923044</v>
      </c>
      <c r="H15" s="88" t="n">
        <f aca="false">IF(7&lt;Assumptions!$C$49,0,'Physical Business'!H15*Assumptions!$D$10)</f>
        <v>106.267375419053</v>
      </c>
      <c r="I15" s="88" t="n">
        <f aca="false">IF(8&lt;Assumptions!$C$49,0,'Physical Business'!I15*Assumptions!$D$10)</f>
        <v>106.373527434114</v>
      </c>
      <c r="J15" s="88" t="n">
        <f aca="false">IF(9&lt;Assumptions!$C$49,0,'Physical Business'!J15*Assumptions!$D$10)</f>
        <v>106.480740969324</v>
      </c>
      <c r="K15" s="88" t="n">
        <f aca="false">IF(10&lt;Assumptions!$C$49,0,'Physical Business'!K15*Assumptions!$D$10)</f>
        <v>106.69731231045</v>
      </c>
      <c r="L15" s="88" t="n">
        <f aca="false">IF(11&lt;Assumptions!$C$49,0,'Physical Business'!L15*Assumptions!$D$10)</f>
        <v>106.918215078398</v>
      </c>
      <c r="M15" s="88" t="n">
        <f aca="false">IF(12&lt;Assumptions!$C$49,0,'Physical Business'!M15*Assumptions!$D$10)</f>
        <v>107.143535901705</v>
      </c>
      <c r="N15" s="88" t="n">
        <f aca="false">IF(13&lt;Assumptions!$C$49,0,'Physical Business'!N15*Assumptions!$D$10)</f>
        <v>116.069015315391</v>
      </c>
      <c r="O15" s="88" t="n">
        <f aca="false">IF(14&lt;Assumptions!$C$49,0,'Physical Business'!O15*Assumptions!$D$10)</f>
        <v>116.30343909996</v>
      </c>
      <c r="P15" s="88" t="n">
        <f aca="false">IF(15&lt;Assumptions!$C$49,0,'Physical Business'!P15*Assumptions!$D$10)</f>
        <v>116.54255136022</v>
      </c>
      <c r="Q15" s="88" t="n">
        <f aca="false">IF(16&lt;Assumptions!$C$49,0,'Physical Business'!Q15*Assumptions!$D$10)</f>
        <v>116.786445865685</v>
      </c>
      <c r="R15" s="88" t="n">
        <f aca="false">IF(17&lt;Assumptions!$C$49,0,'Physical Business'!R15*Assumptions!$D$10)</f>
        <v>117.03521826126</v>
      </c>
      <c r="S15" s="88" t="n">
        <f aca="false">IF(18&lt;Assumptions!$C$49,0,'Physical Business'!S15*Assumptions!$D$10)</f>
        <v>117.288966104746</v>
      </c>
      <c r="T15" s="88" t="n">
        <f aca="false">IF(19&lt;Assumptions!$C$49,0,'Physical Business'!T15*Assumptions!$D$10)</f>
        <v>117.547788905102</v>
      </c>
      <c r="U15" s="88" t="n">
        <f aca="false">IF(20&lt;Assumptions!$C$49,0,'Physical Business'!U15*Assumptions!$D$10)</f>
        <v>117.811788161465</v>
      </c>
      <c r="V15" s="88" t="n">
        <f aca="false">IF(21&lt;Assumptions!$C$49,0,'Physical Business'!V15*Assumptions!$D$10)</f>
        <v>118.081067402955</v>
      </c>
      <c r="W15" s="88" t="n">
        <f aca="false">IF(22&lt;Assumptions!$C$49,0,'Physical Business'!W15*Assumptions!$D$10)</f>
        <v>118.355732229275</v>
      </c>
      <c r="X15" s="88" t="n">
        <f aca="false">IF(23&lt;Assumptions!$C$49,0,'Physical Business'!X15*Assumptions!$D$10)</f>
        <v>118.635890352121</v>
      </c>
      <c r="Y15" s="88" t="n">
        <f aca="false">IF(24&lt;Assumptions!$C$49,0,'Physical Business'!Y15*Assumptions!$D$10)</f>
        <v>118.921651637425</v>
      </c>
    </row>
    <row r="16" customFormat="false" ht="15" hidden="false" customHeight="false" outlineLevel="0" collapsed="false">
      <c r="A16" s="86" t="s">
        <v>658</v>
      </c>
      <c r="B16" s="89" t="n">
        <f aca="false">IF(AND(1&gt;=7,1&lt;=12),Assumptions!$C$85/6,0)</f>
        <v>0</v>
      </c>
      <c r="C16" s="89" t="n">
        <f aca="false">IF(AND(2&gt;=7,2&lt;=12),Assumptions!$C$85/6,0)</f>
        <v>0</v>
      </c>
      <c r="D16" s="89" t="n">
        <f aca="false">IF(AND(3&gt;=7,3&lt;=12),Assumptions!$C$85/6,0)</f>
        <v>0</v>
      </c>
      <c r="E16" s="89" t="n">
        <f aca="false">IF(AND(4&gt;=7,4&lt;=12),Assumptions!$C$85/6,0)</f>
        <v>0</v>
      </c>
      <c r="F16" s="89" t="n">
        <f aca="false">IF(AND(5&gt;=7,5&lt;=12),Assumptions!$C$85/6,0)</f>
        <v>0</v>
      </c>
      <c r="G16" s="89" t="n">
        <f aca="false">IF(AND(6&gt;=7,6&lt;=12),Assumptions!$C$85/6,0)</f>
        <v>0</v>
      </c>
      <c r="H16" s="89" t="n">
        <f aca="false">IF(AND(7&gt;=7,7&lt;=12),Assumptions!$C$85/6,0)</f>
        <v>4166.66666666667</v>
      </c>
      <c r="I16" s="89" t="n">
        <f aca="false">IF(AND(8&gt;=7,8&lt;=12),Assumptions!$C$85/6,0)</f>
        <v>4166.66666666667</v>
      </c>
      <c r="J16" s="89" t="n">
        <f aca="false">IF(AND(9&gt;=7,9&lt;=12),Assumptions!$C$85/6,0)</f>
        <v>4166.66666666667</v>
      </c>
      <c r="K16" s="89" t="n">
        <f aca="false">IF(AND(10&gt;=7,10&lt;=12),Assumptions!$C$85/6,0)</f>
        <v>4166.66666666667</v>
      </c>
      <c r="L16" s="89" t="n">
        <f aca="false">IF(AND(11&gt;=7,11&lt;=12),Assumptions!$C$85/6,0)</f>
        <v>4166.66666666667</v>
      </c>
      <c r="M16" s="89" t="n">
        <f aca="false">IF(AND(12&gt;=7,12&lt;=12),Assumptions!$C$85/6,0)</f>
        <v>4166.66666666667</v>
      </c>
      <c r="N16" s="89" t="n">
        <f aca="false">IF(AND(13&gt;=7,13&lt;=12),Assumptions!$C$85/6,0)</f>
        <v>0</v>
      </c>
      <c r="O16" s="89" t="n">
        <f aca="false">IF(AND(14&gt;=7,14&lt;=12),Assumptions!$C$85/6,0)</f>
        <v>0</v>
      </c>
      <c r="P16" s="89" t="n">
        <f aca="false">IF(AND(15&gt;=7,15&lt;=12),Assumptions!$C$85/6,0)</f>
        <v>0</v>
      </c>
      <c r="Q16" s="89" t="n">
        <f aca="false">IF(AND(16&gt;=7,16&lt;=12),Assumptions!$C$85/6,0)</f>
        <v>0</v>
      </c>
      <c r="R16" s="89" t="n">
        <f aca="false">IF(AND(17&gt;=7,17&lt;=12),Assumptions!$C$85/6,0)</f>
        <v>0</v>
      </c>
      <c r="S16" s="89" t="n">
        <f aca="false">IF(AND(18&gt;=7,18&lt;=12),Assumptions!$C$85/6,0)</f>
        <v>0</v>
      </c>
      <c r="T16" s="89" t="n">
        <f aca="false">IF(AND(19&gt;=7,19&lt;=12),Assumptions!$C$85/6,0)</f>
        <v>0</v>
      </c>
      <c r="U16" s="89" t="n">
        <f aca="false">IF(AND(20&gt;=7,20&lt;=12),Assumptions!$C$85/6,0)</f>
        <v>0</v>
      </c>
      <c r="V16" s="89" t="n">
        <f aca="false">IF(AND(21&gt;=7,21&lt;=12),Assumptions!$C$85/6,0)</f>
        <v>0</v>
      </c>
      <c r="W16" s="89" t="n">
        <f aca="false">IF(AND(22&gt;=7,22&lt;=12),Assumptions!$C$85/6,0)</f>
        <v>0</v>
      </c>
      <c r="X16" s="89" t="n">
        <f aca="false">IF(AND(23&gt;=7,23&lt;=12),Assumptions!$C$85/6,0)</f>
        <v>0</v>
      </c>
      <c r="Y16" s="89" t="n">
        <f aca="false">IF(AND(24&gt;=7,24&lt;=12),Assumptions!$C$85/6,0)</f>
        <v>0</v>
      </c>
    </row>
    <row r="17" customFormat="false" ht="15" hidden="false" customHeight="false" outlineLevel="0" collapsed="false">
      <c r="A17" s="86" t="s">
        <v>659</v>
      </c>
      <c r="B17" s="90" t="n">
        <f aca="false">IF(AND(1&gt;=7,1&lt;=12),Assumptions!$C$86/6,IF(AND(1&gt;=13,1&lt;=18),Assumptions!$C$87/6,IF(1&gt;=19,Assumptions!$C$88,0)))</f>
        <v>0</v>
      </c>
      <c r="C17" s="90" t="n">
        <f aca="false">IF(AND(2&gt;=7,2&lt;=12),Assumptions!$C$86/6,IF(AND(2&gt;=13,2&lt;=18),Assumptions!$C$87/6,IF(2&gt;=19,Assumptions!$C$88,0)))</f>
        <v>0</v>
      </c>
      <c r="D17" s="90" t="n">
        <f aca="false">IF(AND(3&gt;=7,3&lt;=12),Assumptions!$C$86/6,IF(AND(3&gt;=13,3&lt;=18),Assumptions!$C$87/6,IF(3&gt;=19,Assumptions!$C$88,0)))</f>
        <v>0</v>
      </c>
      <c r="E17" s="90" t="n">
        <f aca="false">IF(AND(4&gt;=7,4&lt;=12),Assumptions!$C$86/6,IF(AND(4&gt;=13,4&lt;=18),Assumptions!$C$87/6,IF(4&gt;=19,Assumptions!$C$88,0)))</f>
        <v>0</v>
      </c>
      <c r="F17" s="90" t="n">
        <f aca="false">IF(AND(5&gt;=7,5&lt;=12),Assumptions!$C$86/6,IF(AND(5&gt;=13,5&lt;=18),Assumptions!$C$87/6,IF(5&gt;=19,Assumptions!$C$88,0)))</f>
        <v>0</v>
      </c>
      <c r="G17" s="90" t="n">
        <f aca="false">IF(AND(6&gt;=7,6&lt;=12),Assumptions!$C$86/6,IF(AND(6&gt;=13,6&lt;=18),Assumptions!$C$87/6,IF(6&gt;=19,Assumptions!$C$88,0)))</f>
        <v>0</v>
      </c>
      <c r="H17" s="90" t="n">
        <f aca="false">IF(AND(7&gt;=7,7&lt;=12),Assumptions!$C$86/6,IF(AND(7&gt;=13,7&lt;=18),Assumptions!$C$87/6,IF(7&gt;=19,Assumptions!$C$88,0)))</f>
        <v>2833.33333333333</v>
      </c>
      <c r="I17" s="90" t="n">
        <f aca="false">IF(AND(8&gt;=7,8&lt;=12),Assumptions!$C$86/6,IF(AND(8&gt;=13,8&lt;=18),Assumptions!$C$87/6,IF(8&gt;=19,Assumptions!$C$88,0)))</f>
        <v>2833.33333333333</v>
      </c>
      <c r="J17" s="90" t="n">
        <f aca="false">IF(AND(9&gt;=7,9&lt;=12),Assumptions!$C$86/6,IF(AND(9&gt;=13,9&lt;=18),Assumptions!$C$87/6,IF(9&gt;=19,Assumptions!$C$88,0)))</f>
        <v>2833.33333333333</v>
      </c>
      <c r="K17" s="90" t="n">
        <f aca="false">IF(AND(10&gt;=7,10&lt;=12),Assumptions!$C$86/6,IF(AND(10&gt;=13,10&lt;=18),Assumptions!$C$87/6,IF(10&gt;=19,Assumptions!$C$88,0)))</f>
        <v>2833.33333333333</v>
      </c>
      <c r="L17" s="90" t="n">
        <f aca="false">IF(AND(11&gt;=7,11&lt;=12),Assumptions!$C$86/6,IF(AND(11&gt;=13,11&lt;=18),Assumptions!$C$87/6,IF(11&gt;=19,Assumptions!$C$88,0)))</f>
        <v>2833.33333333333</v>
      </c>
      <c r="M17" s="90" t="n">
        <f aca="false">IF(AND(12&gt;=7,12&lt;=12),Assumptions!$C$86/6,IF(AND(12&gt;=13,12&lt;=18),Assumptions!$C$87/6,IF(12&gt;=19,Assumptions!$C$88,0)))</f>
        <v>2833.33333333333</v>
      </c>
      <c r="N17" s="90" t="n">
        <f aca="false">IF(AND(13&gt;=7,13&lt;=12),Assumptions!$C$86/6,IF(AND(13&gt;=13,13&lt;=18),Assumptions!$C$87/6,IF(13&gt;=19,Assumptions!$C$88,0)))</f>
        <v>4666.66666666667</v>
      </c>
      <c r="O17" s="90" t="n">
        <f aca="false">IF(AND(14&gt;=7,14&lt;=12),Assumptions!$C$86/6,IF(AND(14&gt;=13,14&lt;=18),Assumptions!$C$87/6,IF(14&gt;=19,Assumptions!$C$88,0)))</f>
        <v>4666.66666666667</v>
      </c>
      <c r="P17" s="90" t="n">
        <f aca="false">IF(AND(15&gt;=7,15&lt;=12),Assumptions!$C$86/6,IF(AND(15&gt;=13,15&lt;=18),Assumptions!$C$87/6,IF(15&gt;=19,Assumptions!$C$88,0)))</f>
        <v>4666.66666666667</v>
      </c>
      <c r="Q17" s="90" t="n">
        <f aca="false">IF(AND(16&gt;=7,16&lt;=12),Assumptions!$C$86/6,IF(AND(16&gt;=13,16&lt;=18),Assumptions!$C$87/6,IF(16&gt;=19,Assumptions!$C$88,0)))</f>
        <v>4666.66666666667</v>
      </c>
      <c r="R17" s="90" t="n">
        <f aca="false">IF(AND(17&gt;=7,17&lt;=12),Assumptions!$C$86/6,IF(AND(17&gt;=13,17&lt;=18),Assumptions!$C$87/6,IF(17&gt;=19,Assumptions!$C$88,0)))</f>
        <v>4666.66666666667</v>
      </c>
      <c r="S17" s="90" t="n">
        <f aca="false">IF(AND(18&gt;=7,18&lt;=12),Assumptions!$C$86/6,IF(AND(18&gt;=13,18&lt;=18),Assumptions!$C$87/6,IF(18&gt;=19,Assumptions!$C$88,0)))</f>
        <v>4666.66666666667</v>
      </c>
      <c r="T17" s="90" t="n">
        <f aca="false">IF(AND(19&gt;=7,19&lt;=12),Assumptions!$C$86/6,IF(AND(19&gt;=13,19&lt;=18),Assumptions!$C$87/6,IF(19&gt;=19,Assumptions!$C$88,0)))</f>
        <v>5000</v>
      </c>
      <c r="U17" s="90" t="n">
        <f aca="false">IF(AND(20&gt;=7,20&lt;=12),Assumptions!$C$86/6,IF(AND(20&gt;=13,20&lt;=18),Assumptions!$C$87/6,IF(20&gt;=19,Assumptions!$C$88,0)))</f>
        <v>5000</v>
      </c>
      <c r="V17" s="90" t="n">
        <f aca="false">IF(AND(21&gt;=7,21&lt;=12),Assumptions!$C$86/6,IF(AND(21&gt;=13,21&lt;=18),Assumptions!$C$87/6,IF(21&gt;=19,Assumptions!$C$88,0)))</f>
        <v>5000</v>
      </c>
      <c r="W17" s="90" t="n">
        <f aca="false">IF(AND(22&gt;=7,22&lt;=12),Assumptions!$C$86/6,IF(AND(22&gt;=13,22&lt;=18),Assumptions!$C$87/6,IF(22&gt;=19,Assumptions!$C$88,0)))</f>
        <v>5000</v>
      </c>
      <c r="X17" s="90" t="n">
        <f aca="false">IF(AND(23&gt;=7,23&lt;=12),Assumptions!$C$86/6,IF(AND(23&gt;=13,23&lt;=18),Assumptions!$C$87/6,IF(23&gt;=19,Assumptions!$C$88,0)))</f>
        <v>5000</v>
      </c>
      <c r="Y17" s="90" t="n">
        <f aca="false">IF(AND(24&gt;=7,24&lt;=12),Assumptions!$C$86/6,IF(AND(24&gt;=13,24&lt;=18),Assumptions!$C$87/6,IF(24&gt;=19,Assumptions!$C$88,0)))</f>
        <v>5000</v>
      </c>
    </row>
    <row r="18" customFormat="false" ht="15" hidden="false" customHeight="false" outlineLevel="0" collapsed="false">
      <c r="A18" s="86" t="s">
        <v>660</v>
      </c>
      <c r="B18" s="87" t="n">
        <f aca="false">B16/Assumptions!$C$89</f>
        <v>0</v>
      </c>
      <c r="C18" s="87" t="n">
        <f aca="false">C16/Assumptions!$C$89</f>
        <v>0</v>
      </c>
      <c r="D18" s="87" t="n">
        <f aca="false">D16/Assumptions!$C$89</f>
        <v>0</v>
      </c>
      <c r="E18" s="87" t="n">
        <f aca="false">E16/Assumptions!$C$89</f>
        <v>0</v>
      </c>
      <c r="F18" s="87" t="n">
        <f aca="false">F16/Assumptions!$C$89</f>
        <v>0</v>
      </c>
      <c r="G18" s="87" t="n">
        <f aca="false">G16/Assumptions!$C$89</f>
        <v>0</v>
      </c>
      <c r="H18" s="87" t="n">
        <f aca="false">H16/Assumptions!$C$89</f>
        <v>277.777777777778</v>
      </c>
      <c r="I18" s="87" t="n">
        <f aca="false">I16/Assumptions!$C$89</f>
        <v>277.777777777778</v>
      </c>
      <c r="J18" s="87" t="n">
        <f aca="false">J16/Assumptions!$C$89</f>
        <v>277.777777777778</v>
      </c>
      <c r="K18" s="87" t="n">
        <f aca="false">K16/Assumptions!$C$89</f>
        <v>277.777777777778</v>
      </c>
      <c r="L18" s="87" t="n">
        <f aca="false">L16/Assumptions!$C$89</f>
        <v>277.777777777778</v>
      </c>
      <c r="M18" s="87" t="n">
        <f aca="false">M16/Assumptions!$C$89</f>
        <v>277.777777777778</v>
      </c>
      <c r="N18" s="87" t="n">
        <f aca="false">N16/Assumptions!$C$89</f>
        <v>0</v>
      </c>
      <c r="O18" s="87" t="n">
        <f aca="false">O16/Assumptions!$C$89</f>
        <v>0</v>
      </c>
      <c r="P18" s="87" t="n">
        <f aca="false">P16/Assumptions!$C$89</f>
        <v>0</v>
      </c>
      <c r="Q18" s="87" t="n">
        <f aca="false">Q16/Assumptions!$C$89</f>
        <v>0</v>
      </c>
      <c r="R18" s="87" t="n">
        <f aca="false">R16/Assumptions!$C$89</f>
        <v>0</v>
      </c>
      <c r="S18" s="87" t="n">
        <f aca="false">S16/Assumptions!$C$89</f>
        <v>0</v>
      </c>
      <c r="T18" s="87" t="n">
        <f aca="false">T16/Assumptions!$C$89</f>
        <v>0</v>
      </c>
      <c r="U18" s="87" t="n">
        <f aca="false">U16/Assumptions!$C$89</f>
        <v>0</v>
      </c>
      <c r="V18" s="87" t="n">
        <f aca="false">V16/Assumptions!$C$89</f>
        <v>0</v>
      </c>
      <c r="W18" s="87" t="n">
        <f aca="false">W16/Assumptions!$C$89</f>
        <v>0</v>
      </c>
      <c r="X18" s="87" t="n">
        <f aca="false">X16/Assumptions!$C$89</f>
        <v>0</v>
      </c>
      <c r="Y18" s="87" t="n">
        <f aca="false">Y16/Assumptions!$C$89</f>
        <v>0</v>
      </c>
    </row>
    <row r="19" customFormat="false" ht="15" hidden="false" customHeight="false" outlineLevel="0" collapsed="false">
      <c r="A19" s="86" t="s">
        <v>661</v>
      </c>
      <c r="B19" s="88" t="n">
        <f aca="false">B17/IF(1&lt;19,Assumptions!$C$90,Assumptions!$C$91)</f>
        <v>0</v>
      </c>
      <c r="C19" s="88" t="n">
        <f aca="false">C17/IF(2&lt;19,Assumptions!$C$90,Assumptions!$C$91)</f>
        <v>0</v>
      </c>
      <c r="D19" s="88" t="n">
        <f aca="false">D17/IF(3&lt;19,Assumptions!$C$90,Assumptions!$C$91)</f>
        <v>0</v>
      </c>
      <c r="E19" s="88" t="n">
        <f aca="false">E17/IF(4&lt;19,Assumptions!$C$90,Assumptions!$C$91)</f>
        <v>0</v>
      </c>
      <c r="F19" s="88" t="n">
        <f aca="false">F17/IF(5&lt;19,Assumptions!$C$90,Assumptions!$C$91)</f>
        <v>0</v>
      </c>
      <c r="G19" s="88" t="n">
        <f aca="false">G17/IF(6&lt;19,Assumptions!$C$90,Assumptions!$C$91)</f>
        <v>0</v>
      </c>
      <c r="H19" s="88" t="n">
        <f aca="false">H17/IF(7&lt;19,Assumptions!$C$90,Assumptions!$C$91)</f>
        <v>101.190476190476</v>
      </c>
      <c r="I19" s="88" t="n">
        <f aca="false">I17/IF(8&lt;19,Assumptions!$C$90,Assumptions!$C$91)</f>
        <v>101.190476190476</v>
      </c>
      <c r="J19" s="88" t="n">
        <f aca="false">J17/IF(9&lt;19,Assumptions!$C$90,Assumptions!$C$91)</f>
        <v>101.190476190476</v>
      </c>
      <c r="K19" s="88" t="n">
        <f aca="false">K17/IF(10&lt;19,Assumptions!$C$90,Assumptions!$C$91)</f>
        <v>101.190476190476</v>
      </c>
      <c r="L19" s="88" t="n">
        <f aca="false">L17/IF(11&lt;19,Assumptions!$C$90,Assumptions!$C$91)</f>
        <v>101.190476190476</v>
      </c>
      <c r="M19" s="88" t="n">
        <f aca="false">M17/IF(12&lt;19,Assumptions!$C$90,Assumptions!$C$91)</f>
        <v>101.190476190476</v>
      </c>
      <c r="N19" s="88" t="n">
        <f aca="false">N17/IF(13&lt;19,Assumptions!$C$90,Assumptions!$C$91)</f>
        <v>166.666666666667</v>
      </c>
      <c r="O19" s="88" t="n">
        <f aca="false">O17/IF(14&lt;19,Assumptions!$C$90,Assumptions!$C$91)</f>
        <v>166.666666666667</v>
      </c>
      <c r="P19" s="88" t="n">
        <f aca="false">P17/IF(15&lt;19,Assumptions!$C$90,Assumptions!$C$91)</f>
        <v>166.666666666667</v>
      </c>
      <c r="Q19" s="88" t="n">
        <f aca="false">Q17/IF(16&lt;19,Assumptions!$C$90,Assumptions!$C$91)</f>
        <v>166.666666666667</v>
      </c>
      <c r="R19" s="88" t="n">
        <f aca="false">R17/IF(17&lt;19,Assumptions!$C$90,Assumptions!$C$91)</f>
        <v>166.666666666667</v>
      </c>
      <c r="S19" s="88" t="n">
        <f aca="false">S17/IF(18&lt;19,Assumptions!$C$90,Assumptions!$C$91)</f>
        <v>166.666666666667</v>
      </c>
      <c r="T19" s="88" t="n">
        <f aca="false">T17/IF(19&lt;19,Assumptions!$C$90,Assumptions!$C$91)</f>
        <v>250</v>
      </c>
      <c r="U19" s="88" t="n">
        <f aca="false">U17/IF(20&lt;19,Assumptions!$C$90,Assumptions!$C$91)</f>
        <v>250</v>
      </c>
      <c r="V19" s="88" t="n">
        <f aca="false">V17/IF(21&lt;19,Assumptions!$C$90,Assumptions!$C$91)</f>
        <v>250</v>
      </c>
      <c r="W19" s="88" t="n">
        <f aca="false">W17/IF(22&lt;19,Assumptions!$C$90,Assumptions!$C$91)</f>
        <v>250</v>
      </c>
      <c r="X19" s="88" t="n">
        <f aca="false">X17/IF(23&lt;19,Assumptions!$C$90,Assumptions!$C$91)</f>
        <v>250</v>
      </c>
      <c r="Y19" s="88" t="n">
        <f aca="false">Y17/IF(24&lt;19,Assumptions!$C$90,Assumptions!$C$91)</f>
        <v>250</v>
      </c>
    </row>
    <row r="20" customFormat="false" ht="15" hidden="false" customHeight="false" outlineLevel="0" collapsed="false">
      <c r="A20" s="86" t="s">
        <v>662</v>
      </c>
      <c r="B20" s="87" t="n">
        <f aca="false">IF(AND(1&gt;=Assumptions!$C$49,1&lt;=Assumptions!$C$50),Assumptions!$D$20,0)</f>
        <v>0</v>
      </c>
      <c r="C20" s="87" t="n">
        <f aca="false">IF(AND(2&gt;=Assumptions!$C$49,2&lt;=Assumptions!$C$50),Assumptions!$D$20,0)</f>
        <v>0</v>
      </c>
      <c r="D20" s="87" t="n">
        <f aca="false">IF(AND(3&gt;=Assumptions!$C$49,3&lt;=Assumptions!$C$50),Assumptions!$D$20,0)</f>
        <v>0</v>
      </c>
      <c r="E20" s="87" t="n">
        <f aca="false">IF(AND(4&gt;=Assumptions!$C$49,4&lt;=Assumptions!$C$50),Assumptions!$D$20,0)</f>
        <v>50</v>
      </c>
      <c r="F20" s="87" t="n">
        <f aca="false">IF(AND(5&gt;=Assumptions!$C$49,5&lt;=Assumptions!$C$50),Assumptions!$D$20,0)</f>
        <v>50</v>
      </c>
      <c r="G20" s="87" t="n">
        <f aca="false">IF(AND(6&gt;=Assumptions!$C$49,6&lt;=Assumptions!$C$50),Assumptions!$D$20,0)</f>
        <v>50</v>
      </c>
      <c r="H20" s="87" t="n">
        <f aca="false">IF(AND(7&gt;=Assumptions!$C$49,7&lt;=Assumptions!$C$50),Assumptions!$D$20,0)</f>
        <v>0</v>
      </c>
      <c r="I20" s="87" t="n">
        <f aca="false">IF(AND(8&gt;=Assumptions!$C$49,8&lt;=Assumptions!$C$50),Assumptions!$D$20,0)</f>
        <v>0</v>
      </c>
      <c r="J20" s="87" t="n">
        <f aca="false">IF(AND(9&gt;=Assumptions!$C$49,9&lt;=Assumptions!$C$50),Assumptions!$D$20,0)</f>
        <v>0</v>
      </c>
      <c r="K20" s="87" t="n">
        <f aca="false">IF(AND(10&gt;=Assumptions!$C$49,10&lt;=Assumptions!$C$50),Assumptions!$D$20,0)</f>
        <v>0</v>
      </c>
      <c r="L20" s="87" t="n">
        <f aca="false">IF(AND(11&gt;=Assumptions!$C$49,11&lt;=Assumptions!$C$50),Assumptions!$D$20,0)</f>
        <v>0</v>
      </c>
      <c r="M20" s="87" t="n">
        <f aca="false">IF(AND(12&gt;=Assumptions!$C$49,12&lt;=Assumptions!$C$50),Assumptions!$D$20,0)</f>
        <v>0</v>
      </c>
      <c r="N20" s="87" t="n">
        <f aca="false">IF(AND(13&gt;=Assumptions!$C$49,13&lt;=Assumptions!$C$50),Assumptions!$D$20,0)</f>
        <v>0</v>
      </c>
      <c r="O20" s="87" t="n">
        <f aca="false">IF(AND(14&gt;=Assumptions!$C$49,14&lt;=Assumptions!$C$50),Assumptions!$D$20,0)</f>
        <v>0</v>
      </c>
      <c r="P20" s="87" t="n">
        <f aca="false">IF(AND(15&gt;=Assumptions!$C$49,15&lt;=Assumptions!$C$50),Assumptions!$D$20,0)</f>
        <v>0</v>
      </c>
      <c r="Q20" s="87" t="n">
        <f aca="false">IF(AND(16&gt;=Assumptions!$C$49,16&lt;=Assumptions!$C$50),Assumptions!$D$20,0)</f>
        <v>0</v>
      </c>
      <c r="R20" s="87" t="n">
        <f aca="false">IF(AND(17&gt;=Assumptions!$C$49,17&lt;=Assumptions!$C$50),Assumptions!$D$20,0)</f>
        <v>0</v>
      </c>
      <c r="S20" s="87" t="n">
        <f aca="false">IF(AND(18&gt;=Assumptions!$C$49,18&lt;=Assumptions!$C$50),Assumptions!$D$20,0)</f>
        <v>0</v>
      </c>
      <c r="T20" s="87" t="n">
        <f aca="false">IF(AND(19&gt;=Assumptions!$C$49,19&lt;=Assumptions!$C$50),Assumptions!$D$20,0)</f>
        <v>0</v>
      </c>
      <c r="U20" s="87" t="n">
        <f aca="false">IF(AND(20&gt;=Assumptions!$C$49,20&lt;=Assumptions!$C$50),Assumptions!$D$20,0)</f>
        <v>0</v>
      </c>
      <c r="V20" s="87" t="n">
        <f aca="false">IF(AND(21&gt;=Assumptions!$C$49,21&lt;=Assumptions!$C$50),Assumptions!$D$20,0)</f>
        <v>0</v>
      </c>
      <c r="W20" s="87" t="n">
        <f aca="false">IF(AND(22&gt;=Assumptions!$C$49,22&lt;=Assumptions!$C$50),Assumptions!$D$20,0)</f>
        <v>0</v>
      </c>
      <c r="X20" s="87" t="n">
        <f aca="false">IF(AND(23&gt;=Assumptions!$C$49,23&lt;=Assumptions!$C$50),Assumptions!$D$20,0)</f>
        <v>0</v>
      </c>
      <c r="Y20" s="87" t="n">
        <f aca="false">IF(AND(24&gt;=Assumptions!$C$49,24&lt;=Assumptions!$C$50),Assumptions!$D$20,0)</f>
        <v>0</v>
      </c>
    </row>
    <row r="21" customFormat="false" ht="15" hidden="false" customHeight="false" outlineLevel="0" collapsed="false">
      <c r="A21" s="91" t="s">
        <v>351</v>
      </c>
      <c r="B21" s="92" t="n">
        <f aca="false">SUM(B14:B15,B18:B20)</f>
        <v>0</v>
      </c>
      <c r="C21" s="92" t="n">
        <f aca="false">SUM(C14:C15,C18:C20)</f>
        <v>0</v>
      </c>
      <c r="D21" s="92" t="n">
        <f aca="false">SUM(D14:D15,D18:D20)</f>
        <v>0</v>
      </c>
      <c r="E21" s="92" t="n">
        <f aca="false">SUM(E14:E15,E18:E20)</f>
        <v>199.868227391304</v>
      </c>
      <c r="F21" s="92" t="n">
        <f aca="false">SUM(F14:F15,F18:F20)</f>
        <v>199.971257491304</v>
      </c>
      <c r="G21" s="92" t="n">
        <f aca="false">SUM(G14:G15,G18:G20)</f>
        <v>200.075317892304</v>
      </c>
      <c r="H21" s="92" t="n">
        <f aca="false">SUM(H14:H15,H18:H20)</f>
        <v>555.235629387307</v>
      </c>
      <c r="I21" s="92" t="n">
        <f aca="false">SUM(I14:I15,I18:I20)</f>
        <v>555.341781402368</v>
      </c>
      <c r="J21" s="92" t="n">
        <f aca="false">SUM(J14:J15,J18:J20)</f>
        <v>555.448994937578</v>
      </c>
      <c r="K21" s="92" t="n">
        <f aca="false">SUM(K14:K15,K18:K20)</f>
        <v>485.665566278704</v>
      </c>
      <c r="L21" s="92" t="n">
        <f aca="false">SUM(L14:L15,L18:L20)</f>
        <v>485.886469046652</v>
      </c>
      <c r="M21" s="92" t="n">
        <f aca="false">SUM(M14:M15,M18:M20)</f>
        <v>486.111789869959</v>
      </c>
      <c r="N21" s="92" t="n">
        <f aca="false">SUM(N14:N15,N18:N20)</f>
        <v>282.735681982058</v>
      </c>
      <c r="O21" s="92" t="n">
        <f aca="false">SUM(O14:O15,O18:O20)</f>
        <v>282.970105766627</v>
      </c>
      <c r="P21" s="92" t="n">
        <f aca="false">SUM(P14:P15,P18:P20)</f>
        <v>283.209218026887</v>
      </c>
      <c r="Q21" s="92" t="n">
        <f aca="false">SUM(Q14:Q15,Q18:Q20)</f>
        <v>283.453112532352</v>
      </c>
      <c r="R21" s="92" t="n">
        <f aca="false">SUM(R14:R15,R18:R20)</f>
        <v>283.701884927927</v>
      </c>
      <c r="S21" s="92" t="n">
        <f aca="false">SUM(S14:S15,S18:S20)</f>
        <v>283.955632771413</v>
      </c>
      <c r="T21" s="92" t="n">
        <f aca="false">SUM(T14:T15,T18:T20)</f>
        <v>367.547788905102</v>
      </c>
      <c r="U21" s="92" t="n">
        <f aca="false">SUM(U14:U15,U18:U20)</f>
        <v>367.811788161465</v>
      </c>
      <c r="V21" s="92" t="n">
        <f aca="false">SUM(V14:V15,V18:V20)</f>
        <v>368.081067402955</v>
      </c>
      <c r="W21" s="92" t="n">
        <f aca="false">SUM(W14:W15,W18:W20)</f>
        <v>368.355732229275</v>
      </c>
      <c r="X21" s="92" t="n">
        <f aca="false">SUM(X14:X15,X18:X20)</f>
        <v>368.635890352121</v>
      </c>
      <c r="Y21" s="92" t="n">
        <f aca="false">SUM(Y14:Y15,Y18:Y20)</f>
        <v>368.921651637425</v>
      </c>
    </row>
    <row r="22" customFormat="false" ht="15" hidden="false" customHeight="false" outlineLevel="0" collapsed="false">
      <c r="A22" s="86" t="s">
        <v>352</v>
      </c>
      <c r="B22" s="87" t="n">
        <f aca="false">SUM(B14:B15,B18)*Assumptions!$D$11</f>
        <v>0</v>
      </c>
      <c r="C22" s="87" t="n">
        <f aca="false">SUM(C14:C15,C18)*Assumptions!$D$11</f>
        <v>0</v>
      </c>
      <c r="D22" s="87" t="n">
        <f aca="false">SUM(D14:D15,D18)*Assumptions!$D$11</f>
        <v>0</v>
      </c>
      <c r="E22" s="87" t="n">
        <f aca="false">SUM(E14:E15,E18)*Assumptions!$D$11</f>
        <v>44.9604682173913</v>
      </c>
      <c r="F22" s="87" t="n">
        <f aca="false">SUM(F14:F15,F18)*Assumptions!$D$11</f>
        <v>44.9913772473913</v>
      </c>
      <c r="G22" s="87" t="n">
        <f aca="false">SUM(G14:G15,G18)*Assumptions!$D$11</f>
        <v>45.0225953676913</v>
      </c>
      <c r="H22" s="87" t="n">
        <f aca="false">SUM(H14:H15,H18)*Assumptions!$D$11</f>
        <v>136.213545959049</v>
      </c>
      <c r="I22" s="87" t="n">
        <f aca="false">SUM(I14:I15,I18)*Assumptions!$D$11</f>
        <v>136.245391563567</v>
      </c>
      <c r="J22" s="87" t="n">
        <f aca="false">SUM(J14:J15,J18)*Assumptions!$D$11</f>
        <v>136.277555624131</v>
      </c>
      <c r="K22" s="87" t="n">
        <f aca="false">SUM(K14:K15,K18)*Assumptions!$D$11</f>
        <v>115.342527026468</v>
      </c>
      <c r="L22" s="87" t="n">
        <f aca="false">SUM(L14:L15,L18)*Assumptions!$D$11</f>
        <v>115.408797856853</v>
      </c>
      <c r="M22" s="87" t="n">
        <f aca="false">SUM(M14:M15,M18)*Assumptions!$D$11</f>
        <v>115.476394103845</v>
      </c>
      <c r="N22" s="87" t="n">
        <f aca="false">SUM(N14:N15,N18)*Assumptions!$D$11</f>
        <v>34.8207045946174</v>
      </c>
      <c r="O22" s="87" t="n">
        <f aca="false">SUM(O14:O15,O18)*Assumptions!$D$11</f>
        <v>34.891031729988</v>
      </c>
      <c r="P22" s="87" t="n">
        <f aca="false">SUM(P14:P15,P18)*Assumptions!$D$11</f>
        <v>34.9627654080661</v>
      </c>
      <c r="Q22" s="87" t="n">
        <f aca="false">SUM(Q14:Q15,Q18)*Assumptions!$D$11</f>
        <v>35.0359337597056</v>
      </c>
      <c r="R22" s="87" t="n">
        <f aca="false">SUM(R14:R15,R18)*Assumptions!$D$11</f>
        <v>35.110565478378</v>
      </c>
      <c r="S22" s="87" t="n">
        <f aca="false">SUM(S14:S15,S18)*Assumptions!$D$11</f>
        <v>35.1866898314238</v>
      </c>
      <c r="T22" s="87" t="n">
        <f aca="false">SUM(T14:T15,T18)*Assumptions!$D$11</f>
        <v>35.2643366715306</v>
      </c>
      <c r="U22" s="87" t="n">
        <f aca="false">SUM(U14:U15,U18)*Assumptions!$D$11</f>
        <v>35.3435364484394</v>
      </c>
      <c r="V22" s="87" t="n">
        <f aca="false">SUM(V14:V15,V18)*Assumptions!$D$11</f>
        <v>35.4243202208865</v>
      </c>
      <c r="W22" s="87" t="n">
        <f aca="false">SUM(W14:W15,W18)*Assumptions!$D$11</f>
        <v>35.5067196687825</v>
      </c>
      <c r="X22" s="87" t="n">
        <f aca="false">SUM(X14:X15,X18)*Assumptions!$D$11</f>
        <v>35.5907671056364</v>
      </c>
      <c r="Y22" s="87" t="n">
        <f aca="false">SUM(Y14:Y15,Y18)*Assumptions!$D$11</f>
        <v>35.6764954912274</v>
      </c>
    </row>
    <row r="23" customFormat="false" ht="15" hidden="false" customHeight="false" outlineLevel="0" collapsed="false">
      <c r="A23" s="86" t="s">
        <v>353</v>
      </c>
      <c r="B23" s="88" t="n">
        <f aca="false">SUM(B19:B20)*Assumptions!$D$11</f>
        <v>0</v>
      </c>
      <c r="C23" s="88" t="n">
        <f aca="false">SUM(C19:C20)*Assumptions!$D$11</f>
        <v>0</v>
      </c>
      <c r="D23" s="88" t="n">
        <f aca="false">SUM(D19:D20)*Assumptions!$D$11</f>
        <v>0</v>
      </c>
      <c r="E23" s="88" t="n">
        <f aca="false">SUM(E19:E20)*Assumptions!$D$11</f>
        <v>15</v>
      </c>
      <c r="F23" s="88" t="n">
        <f aca="false">SUM(F19:F20)*Assumptions!$D$11</f>
        <v>15</v>
      </c>
      <c r="G23" s="88" t="n">
        <f aca="false">SUM(G19:G20)*Assumptions!$D$11</f>
        <v>15</v>
      </c>
      <c r="H23" s="88" t="n">
        <f aca="false">SUM(H19:H20)*Assumptions!$D$11</f>
        <v>30.3571428571429</v>
      </c>
      <c r="I23" s="88" t="n">
        <f aca="false">SUM(I19:I20)*Assumptions!$D$11</f>
        <v>30.3571428571429</v>
      </c>
      <c r="J23" s="88" t="n">
        <f aca="false">SUM(J19:J20)*Assumptions!$D$11</f>
        <v>30.3571428571429</v>
      </c>
      <c r="K23" s="88" t="n">
        <f aca="false">SUM(K19:K20)*Assumptions!$D$11</f>
        <v>30.3571428571429</v>
      </c>
      <c r="L23" s="88" t="n">
        <f aca="false">SUM(L19:L20)*Assumptions!$D$11</f>
        <v>30.3571428571429</v>
      </c>
      <c r="M23" s="88" t="n">
        <f aca="false">SUM(M19:M20)*Assumptions!$D$11</f>
        <v>30.3571428571429</v>
      </c>
      <c r="N23" s="88" t="n">
        <f aca="false">SUM(N19:N20)*Assumptions!$D$11</f>
        <v>50</v>
      </c>
      <c r="O23" s="88" t="n">
        <f aca="false">SUM(O19:O20)*Assumptions!$D$11</f>
        <v>50</v>
      </c>
      <c r="P23" s="88" t="n">
        <f aca="false">SUM(P19:P20)*Assumptions!$D$11</f>
        <v>50</v>
      </c>
      <c r="Q23" s="88" t="n">
        <f aca="false">SUM(Q19:Q20)*Assumptions!$D$11</f>
        <v>50</v>
      </c>
      <c r="R23" s="88" t="n">
        <f aca="false">SUM(R19:R20)*Assumptions!$D$11</f>
        <v>50</v>
      </c>
      <c r="S23" s="88" t="n">
        <f aca="false">SUM(S19:S20)*Assumptions!$D$11</f>
        <v>50</v>
      </c>
      <c r="T23" s="88" t="n">
        <f aca="false">SUM(T19:T20)*Assumptions!$D$11</f>
        <v>75</v>
      </c>
      <c r="U23" s="88" t="n">
        <f aca="false">SUM(U19:U20)*Assumptions!$D$11</f>
        <v>75</v>
      </c>
      <c r="V23" s="88" t="n">
        <f aca="false">SUM(V19:V20)*Assumptions!$D$11</f>
        <v>75</v>
      </c>
      <c r="W23" s="88" t="n">
        <f aca="false">SUM(W19:W20)*Assumptions!$D$11</f>
        <v>75</v>
      </c>
      <c r="X23" s="88" t="n">
        <f aca="false">SUM(X19:X20)*Assumptions!$D$11</f>
        <v>75</v>
      </c>
      <c r="Y23" s="88" t="n">
        <f aca="false">SUM(Y19:Y20)*Assumptions!$D$11</f>
        <v>75</v>
      </c>
    </row>
    <row r="24" customFormat="false" ht="15" hidden="false" customHeight="false" outlineLevel="0" collapsed="false">
      <c r="A24" s="86" t="s">
        <v>354</v>
      </c>
      <c r="B24" s="87" t="n">
        <f aca="false">B21*(1-Assumptions!$D$11)</f>
        <v>0</v>
      </c>
      <c r="C24" s="87" t="n">
        <f aca="false">C21*(1-Assumptions!$D$11)</f>
        <v>0</v>
      </c>
      <c r="D24" s="87" t="n">
        <f aca="false">D21*(1-Assumptions!$D$11)</f>
        <v>0</v>
      </c>
      <c r="E24" s="87" t="n">
        <f aca="false">E21*(1-Assumptions!$D$11)</f>
        <v>139.907759173913</v>
      </c>
      <c r="F24" s="87" t="n">
        <f aca="false">F21*(1-Assumptions!$D$11)</f>
        <v>139.979880243913</v>
      </c>
      <c r="G24" s="87" t="n">
        <f aca="false">G21*(1-Assumptions!$D$11)</f>
        <v>140.052722524613</v>
      </c>
      <c r="H24" s="87" t="n">
        <f aca="false">H21*(1-Assumptions!$D$11)</f>
        <v>388.664940571115</v>
      </c>
      <c r="I24" s="87" t="n">
        <f aca="false">I21*(1-Assumptions!$D$11)</f>
        <v>388.739246981657</v>
      </c>
      <c r="J24" s="87" t="n">
        <f aca="false">J21*(1-Assumptions!$D$11)</f>
        <v>388.814296456305</v>
      </c>
      <c r="K24" s="87" t="n">
        <f aca="false">K21*(1-Assumptions!$D$11)</f>
        <v>339.965896395093</v>
      </c>
      <c r="L24" s="87" t="n">
        <f aca="false">L21*(1-Assumptions!$D$11)</f>
        <v>340.120528332656</v>
      </c>
      <c r="M24" s="87" t="n">
        <f aca="false">M21*(1-Assumptions!$D$11)</f>
        <v>340.278252908971</v>
      </c>
      <c r="N24" s="87" t="n">
        <f aca="false">N21*(1-Assumptions!$D$11)</f>
        <v>197.914977387441</v>
      </c>
      <c r="O24" s="87" t="n">
        <f aca="false">O21*(1-Assumptions!$D$11)</f>
        <v>198.079074036639</v>
      </c>
      <c r="P24" s="87" t="n">
        <f aca="false">P21*(1-Assumptions!$D$11)</f>
        <v>198.246452618821</v>
      </c>
      <c r="Q24" s="87" t="n">
        <f aca="false">Q21*(1-Assumptions!$D$11)</f>
        <v>198.417178772646</v>
      </c>
      <c r="R24" s="87" t="n">
        <f aca="false">R21*(1-Assumptions!$D$11)</f>
        <v>198.591319449549</v>
      </c>
      <c r="S24" s="87" t="n">
        <f aca="false">S21*(1-Assumptions!$D$11)</f>
        <v>198.768942939989</v>
      </c>
      <c r="T24" s="87" t="n">
        <f aca="false">T21*(1-Assumptions!$D$11)</f>
        <v>257.283452233571</v>
      </c>
      <c r="U24" s="87" t="n">
        <f aca="false">U21*(1-Assumptions!$D$11)</f>
        <v>257.468251713025</v>
      </c>
      <c r="V24" s="87" t="n">
        <f aca="false">V21*(1-Assumptions!$D$11)</f>
        <v>257.656747182068</v>
      </c>
      <c r="W24" s="87" t="n">
        <f aca="false">W21*(1-Assumptions!$D$11)</f>
        <v>257.849012560492</v>
      </c>
      <c r="X24" s="87" t="n">
        <f aca="false">X21*(1-Assumptions!$D$11)</f>
        <v>258.045123246485</v>
      </c>
      <c r="Y24" s="87" t="n">
        <f aca="false">Y21*(1-Assumptions!$D$11)</f>
        <v>258.245156146197</v>
      </c>
    </row>
    <row r="25" customFormat="false" ht="15" hidden="false" customHeight="false" outlineLevel="0" collapsed="false">
      <c r="A25" s="86" t="s">
        <v>355</v>
      </c>
      <c r="B25" s="88" t="n">
        <v>0</v>
      </c>
      <c r="C25" s="88" t="n">
        <v>0</v>
      </c>
      <c r="D25" s="88" t="n">
        <v>0</v>
      </c>
      <c r="E25" s="88" t="n">
        <v>0</v>
      </c>
      <c r="F25" s="88" t="n">
        <v>0</v>
      </c>
      <c r="G25" s="88" t="n">
        <v>0</v>
      </c>
      <c r="H25" s="88" t="n">
        <v>0</v>
      </c>
      <c r="I25" s="88" t="n">
        <v>0</v>
      </c>
      <c r="J25" s="88" t="n">
        <v>0</v>
      </c>
      <c r="K25" s="88" t="n">
        <v>0</v>
      </c>
      <c r="L25" s="88" t="n">
        <v>0</v>
      </c>
      <c r="M25" s="88" t="n">
        <v>0</v>
      </c>
      <c r="N25" s="88" t="n">
        <f aca="false">SUM(B22:B23,B25)*Assumptions!$D$13</f>
        <v>0</v>
      </c>
      <c r="O25" s="88" t="n">
        <f aca="false">SUM(C22:C23,C25)*Assumptions!$D$13</f>
        <v>0</v>
      </c>
      <c r="P25" s="88" t="n">
        <f aca="false">SUM(D22:D23,D25)*Assumptions!$D$13</f>
        <v>0</v>
      </c>
      <c r="Q25" s="88" t="n">
        <f aca="false">SUM(E22:E23,E25)*Assumptions!$D$13</f>
        <v>26.9822106978261</v>
      </c>
      <c r="R25" s="88" t="n">
        <f aca="false">SUM(F22:F23,F25)*Assumptions!$D$13</f>
        <v>26.9961197613261</v>
      </c>
      <c r="S25" s="88" t="n">
        <f aca="false">SUM(G22:G23,G25)*Assumptions!$D$13</f>
        <v>27.0101679154611</v>
      </c>
      <c r="T25" s="88" t="n">
        <f aca="false">SUM(H22:H23,H25)*Assumptions!$D$13</f>
        <v>74.9568099672865</v>
      </c>
      <c r="U25" s="88" t="n">
        <f aca="false">SUM(I22:I23,I25)*Assumptions!$D$13</f>
        <v>74.9711404893196</v>
      </c>
      <c r="V25" s="88" t="n">
        <f aca="false">SUM(J22:J23,J25)*Assumptions!$D$13</f>
        <v>74.9856143165731</v>
      </c>
      <c r="W25" s="88" t="n">
        <f aca="false">SUM(K22:K23,K25)*Assumptions!$D$13</f>
        <v>65.564851447625</v>
      </c>
      <c r="X25" s="88" t="n">
        <f aca="false">SUM(L22:L23,L25)*Assumptions!$D$13</f>
        <v>65.594673321298</v>
      </c>
      <c r="Y25" s="88" t="n">
        <f aca="false">SUM(M22:M23,M25)*Assumptions!$D$13</f>
        <v>65.6250916324445</v>
      </c>
    </row>
    <row r="26" customFormat="false" ht="15" hidden="false" customHeight="false" outlineLevel="0" collapsed="false">
      <c r="A26" s="86" t="s">
        <v>356</v>
      </c>
      <c r="B26" s="87" t="n">
        <v>0</v>
      </c>
      <c r="C26" s="87" t="n">
        <f aca="false">B28</f>
        <v>0</v>
      </c>
      <c r="D26" s="87" t="n">
        <f aca="false">C28</f>
        <v>0</v>
      </c>
      <c r="E26" s="87" t="n">
        <f aca="false">D28</f>
        <v>0</v>
      </c>
      <c r="F26" s="87" t="n">
        <f aca="false">E28</f>
        <v>139.907759173913</v>
      </c>
      <c r="G26" s="87" t="n">
        <f aca="false">F28</f>
        <v>271.493173867391</v>
      </c>
      <c r="H26" s="87" t="n">
        <f aca="false">G28</f>
        <v>395.256305959961</v>
      </c>
      <c r="I26" s="87" t="n">
        <f aca="false">H28</f>
        <v>760.205868173478</v>
      </c>
      <c r="J26" s="87" t="n">
        <f aca="false">I28</f>
        <v>1103.33276306473</v>
      </c>
      <c r="K26" s="87" t="n">
        <f aca="false">J28</f>
        <v>1425.94709373715</v>
      </c>
      <c r="L26" s="87" t="n">
        <f aca="false">K28</f>
        <v>1680.35616450801</v>
      </c>
      <c r="M26" s="87" t="n">
        <f aca="false">L28</f>
        <v>1919.65532297019</v>
      </c>
      <c r="N26" s="87" t="n">
        <f aca="false">M28</f>
        <v>2144.75425650095</v>
      </c>
      <c r="O26" s="87" t="n">
        <f aca="false">N28</f>
        <v>2213.98397849833</v>
      </c>
      <c r="P26" s="87" t="n">
        <f aca="false">O28</f>
        <v>2279.22401382507</v>
      </c>
      <c r="Q26" s="87" t="n">
        <f aca="false">P28</f>
        <v>2340.71702561439</v>
      </c>
      <c r="R26" s="87" t="n">
        <f aca="false">Q28</f>
        <v>2398.69118285017</v>
      </c>
      <c r="S26" s="87" t="n">
        <f aca="false">R28</f>
        <v>2453.36103132871</v>
      </c>
      <c r="T26" s="87" t="n">
        <f aca="false">S28</f>
        <v>2504.92831238898</v>
      </c>
      <c r="U26" s="87" t="n">
        <f aca="false">T28</f>
        <v>2611.91606587921</v>
      </c>
      <c r="V26" s="87" t="n">
        <f aca="false">U28</f>
        <v>2712.66935363948</v>
      </c>
      <c r="W26" s="87" t="n">
        <f aca="false">V28</f>
        <v>2807.56593960318</v>
      </c>
      <c r="X26" s="87" t="n">
        <f aca="false">W28</f>
        <v>2896.96099578748</v>
      </c>
      <c r="Y26" s="87" t="n">
        <f aca="false">X28</f>
        <v>2981.18845928672</v>
      </c>
    </row>
    <row r="27" customFormat="false" ht="15" hidden="false" customHeight="false" outlineLevel="0" collapsed="false">
      <c r="A27" s="86" t="s">
        <v>357</v>
      </c>
      <c r="B27" s="88" t="n">
        <f aca="false">-B26*Assumptions!$C$67</f>
        <v>-0</v>
      </c>
      <c r="C27" s="88" t="n">
        <f aca="false">-C26*Assumptions!$C$67</f>
        <v>-0</v>
      </c>
      <c r="D27" s="88" t="n">
        <f aca="false">-D26*Assumptions!$C$67</f>
        <v>-0</v>
      </c>
      <c r="E27" s="88" t="n">
        <f aca="false">-E26*Assumptions!$C$67</f>
        <v>-0</v>
      </c>
      <c r="F27" s="88" t="n">
        <f aca="false">-F26*Assumptions!$C$67</f>
        <v>-8.39446555043478</v>
      </c>
      <c r="G27" s="88" t="n">
        <f aca="false">-G26*Assumptions!$C$67</f>
        <v>-16.2895904320435</v>
      </c>
      <c r="H27" s="88" t="n">
        <f aca="false">-H26*Assumptions!$C$67</f>
        <v>-23.7153783575977</v>
      </c>
      <c r="I27" s="88" t="n">
        <f aca="false">-I26*Assumptions!$C$67</f>
        <v>-45.6123520904087</v>
      </c>
      <c r="J27" s="88" t="n">
        <f aca="false">-J26*Assumptions!$C$67</f>
        <v>-66.1999657838836</v>
      </c>
      <c r="K27" s="88" t="n">
        <f aca="false">-K26*Assumptions!$C$67</f>
        <v>-85.5568256242289</v>
      </c>
      <c r="L27" s="88" t="n">
        <f aca="false">-L26*Assumptions!$C$67</f>
        <v>-100.821369870481</v>
      </c>
      <c r="M27" s="88" t="n">
        <f aca="false">-M26*Assumptions!$C$67</f>
        <v>-115.179319378211</v>
      </c>
      <c r="N27" s="88" t="n">
        <f aca="false">-N26*Assumptions!$C$67</f>
        <v>-128.685255390057</v>
      </c>
      <c r="O27" s="88" t="n">
        <f aca="false">-O26*Assumptions!$C$67</f>
        <v>-132.8390387099</v>
      </c>
      <c r="P27" s="88" t="n">
        <f aca="false">-P26*Assumptions!$C$67</f>
        <v>-136.753440829504</v>
      </c>
      <c r="Q27" s="88" t="n">
        <f aca="false">-Q26*Assumptions!$C$67</f>
        <v>-140.443021536863</v>
      </c>
      <c r="R27" s="88" t="n">
        <f aca="false">-R26*Assumptions!$C$67</f>
        <v>-143.92147097101</v>
      </c>
      <c r="S27" s="88" t="n">
        <f aca="false">-S26*Assumptions!$C$67</f>
        <v>-147.201661879723</v>
      </c>
      <c r="T27" s="88" t="n">
        <f aca="false">-T26*Assumptions!$C$67</f>
        <v>-150.295698743339</v>
      </c>
      <c r="U27" s="88" t="n">
        <f aca="false">-U26*Assumptions!$C$67</f>
        <v>-156.714963952752</v>
      </c>
      <c r="V27" s="88" t="n">
        <f aca="false">-V26*Assumptions!$C$67</f>
        <v>-162.760161218369</v>
      </c>
      <c r="W27" s="88" t="n">
        <f aca="false">-W26*Assumptions!$C$67</f>
        <v>-168.453956376191</v>
      </c>
      <c r="X27" s="88" t="n">
        <f aca="false">-X26*Assumptions!$C$67</f>
        <v>-173.817659747249</v>
      </c>
      <c r="Y27" s="88" t="n">
        <f aca="false">-Y26*Assumptions!$C$67</f>
        <v>-178.871307557203</v>
      </c>
    </row>
    <row r="28" customFormat="false" ht="15" hidden="false" customHeight="false" outlineLevel="0" collapsed="false">
      <c r="A28" s="86" t="s">
        <v>358</v>
      </c>
      <c r="B28" s="87" t="n">
        <f aca="false">SUM(B26:B27,B24)</f>
        <v>0</v>
      </c>
      <c r="C28" s="87" t="n">
        <f aca="false">SUM(C26:C27,C24)</f>
        <v>0</v>
      </c>
      <c r="D28" s="87" t="n">
        <f aca="false">SUM(D26:D27,D24)</f>
        <v>0</v>
      </c>
      <c r="E28" s="87" t="n">
        <f aca="false">SUM(E26:E27,E24)</f>
        <v>139.907759173913</v>
      </c>
      <c r="F28" s="87" t="n">
        <f aca="false">SUM(F26:F27,F24)</f>
        <v>271.493173867391</v>
      </c>
      <c r="G28" s="87" t="n">
        <f aca="false">SUM(G26:G27,G24)</f>
        <v>395.256305959961</v>
      </c>
      <c r="H28" s="87" t="n">
        <f aca="false">SUM(H26:H27,H24)</f>
        <v>760.205868173478</v>
      </c>
      <c r="I28" s="87" t="n">
        <f aca="false">SUM(I26:I27,I24)</f>
        <v>1103.33276306473</v>
      </c>
      <c r="J28" s="87" t="n">
        <f aca="false">SUM(J26:J27,J24)</f>
        <v>1425.94709373715</v>
      </c>
      <c r="K28" s="87" t="n">
        <f aca="false">SUM(K26:K27,K24)</f>
        <v>1680.35616450801</v>
      </c>
      <c r="L28" s="87" t="n">
        <f aca="false">SUM(L26:L27,L24)</f>
        <v>1919.65532297019</v>
      </c>
      <c r="M28" s="87" t="n">
        <f aca="false">SUM(M26:M27,M24)</f>
        <v>2144.75425650095</v>
      </c>
      <c r="N28" s="87" t="n">
        <f aca="false">SUM(N26:N27,N24)</f>
        <v>2213.98397849833</v>
      </c>
      <c r="O28" s="87" t="n">
        <f aca="false">SUM(O26:O27,O24)</f>
        <v>2279.22401382507</v>
      </c>
      <c r="P28" s="87" t="n">
        <f aca="false">SUM(P26:P27,P24)</f>
        <v>2340.71702561439</v>
      </c>
      <c r="Q28" s="87" t="n">
        <f aca="false">SUM(Q26:Q27,Q24)</f>
        <v>2398.69118285017</v>
      </c>
      <c r="R28" s="87" t="n">
        <f aca="false">SUM(R26:R27,R24)</f>
        <v>2453.36103132871</v>
      </c>
      <c r="S28" s="87" t="n">
        <f aca="false">SUM(S26:S27,S24)</f>
        <v>2504.92831238898</v>
      </c>
      <c r="T28" s="87" t="n">
        <f aca="false">SUM(T26:T27,T24)</f>
        <v>2611.91606587921</v>
      </c>
      <c r="U28" s="87" t="n">
        <f aca="false">SUM(U26:U27,U24)</f>
        <v>2712.66935363948</v>
      </c>
      <c r="V28" s="87" t="n">
        <f aca="false">SUM(V26:V27,V24)</f>
        <v>2807.56593960318</v>
      </c>
      <c r="W28" s="87" t="n">
        <f aca="false">SUM(W26:W27,W24)</f>
        <v>2896.96099578748</v>
      </c>
      <c r="X28" s="87" t="n">
        <f aca="false">SUM(X26:X27,X24)</f>
        <v>2981.18845928672</v>
      </c>
      <c r="Y28" s="87" t="n">
        <f aca="false">SUM(Y26:Y27,Y24)</f>
        <v>3060.56230787571</v>
      </c>
    </row>
    <row r="29" customFormat="false" ht="15" hidden="false" customHeight="false" outlineLevel="0" collapsed="false">
      <c r="A29" s="86" t="s">
        <v>359</v>
      </c>
      <c r="B29" s="88" t="n">
        <f aca="false">SUM(B22:B23)+SUM(B25)</f>
        <v>0</v>
      </c>
      <c r="C29" s="88" t="n">
        <f aca="false">SUM(B22:C23)+SUM(B25:C25)</f>
        <v>0</v>
      </c>
      <c r="D29" s="88" t="n">
        <f aca="false">SUM(B22:D23)+SUM(B25:D25)</f>
        <v>0</v>
      </c>
      <c r="E29" s="88" t="n">
        <f aca="false">SUM(B22:E23)+SUM(B25:E25)</f>
        <v>59.9604682173913</v>
      </c>
      <c r="F29" s="88" t="n">
        <f aca="false">SUM(B22:F23)+SUM(B25:F25)</f>
        <v>119.951845464783</v>
      </c>
      <c r="G29" s="88" t="n">
        <f aca="false">SUM(B22:G23)+SUM(B25:G25)</f>
        <v>179.974440832474</v>
      </c>
      <c r="H29" s="88" t="n">
        <f aca="false">SUM(B22:H23)+SUM(B25:H25)</f>
        <v>346.545129648666</v>
      </c>
      <c r="I29" s="88" t="n">
        <f aca="false">SUM(B22:I23)+SUM(B25:I25)</f>
        <v>513.147664069376</v>
      </c>
      <c r="J29" s="88" t="n">
        <f aca="false">SUM(B22:J23)+SUM(B25:J25)</f>
        <v>679.78236255065</v>
      </c>
      <c r="K29" s="88" t="n">
        <f aca="false">SUM(B22:K23)+SUM(B25:K25)</f>
        <v>825.482032434261</v>
      </c>
      <c r="L29" s="88" t="n">
        <f aca="false">SUM(B22:L23)+SUM(B25:L25)</f>
        <v>971.247973148257</v>
      </c>
      <c r="M29" s="88" t="n">
        <f aca="false">SUM(B22:M23)+SUM(B25:M25)</f>
        <v>1117.08151010924</v>
      </c>
      <c r="N29" s="88" t="n">
        <f aca="false">SUM(C22:N23)+SUM(C25:N25)</f>
        <v>1201.90221470386</v>
      </c>
      <c r="O29" s="88" t="n">
        <f aca="false">SUM(D22:O23)+SUM(D25:O25)</f>
        <v>1286.79324643385</v>
      </c>
      <c r="P29" s="88" t="n">
        <f aca="false">SUM(E22:P23)+SUM(E25:P25)</f>
        <v>1371.75601184192</v>
      </c>
      <c r="Q29" s="88" t="n">
        <f aca="false">SUM(F22:Q23)+SUM(F25:Q25)</f>
        <v>1423.81368808206</v>
      </c>
      <c r="R29" s="88" t="n">
        <f aca="false">SUM(G22:R23)+SUM(G25:R25)</f>
        <v>1475.92899607437</v>
      </c>
      <c r="S29" s="88" t="n">
        <f aca="false">SUM(H22:S23)+SUM(H25:S25)</f>
        <v>1528.10325845356</v>
      </c>
      <c r="T29" s="88" t="n">
        <f aca="false">SUM(I22:T23)+SUM(I25:T25)</f>
        <v>1546.75371627619</v>
      </c>
      <c r="U29" s="88" t="n">
        <f aca="false">SUM(J22:U23)+SUM(J25:U25)</f>
        <v>1565.46585879324</v>
      </c>
      <c r="V29" s="88" t="n">
        <f aca="false">SUM(K22:V23)+SUM(K25:V25)</f>
        <v>1584.24109484942</v>
      </c>
      <c r="W29" s="88" t="n">
        <f aca="false">SUM(L22:W23)+SUM(L25:W25)</f>
        <v>1614.61299608222</v>
      </c>
      <c r="X29" s="88" t="n">
        <f aca="false">SUM(M22:X23)+SUM(M25:X25)</f>
        <v>1645.03249579516</v>
      </c>
      <c r="Y29" s="88" t="n">
        <f aca="false">SUM(N22:Y23)+SUM(N25:Y25)</f>
        <v>1675.50054595784</v>
      </c>
    </row>
    <row r="30" customFormat="false" ht="15" hidden="false" customHeight="false" outlineLevel="0" collapsed="false">
      <c r="A30" s="91" t="s">
        <v>360</v>
      </c>
      <c r="B30" s="92" t="n">
        <f aca="false">SUM(B28:B29)</f>
        <v>0</v>
      </c>
      <c r="C30" s="92" t="n">
        <f aca="false">SUM(C28:C29)</f>
        <v>0</v>
      </c>
      <c r="D30" s="92" t="n">
        <f aca="false">SUM(D28:D29)</f>
        <v>0</v>
      </c>
      <c r="E30" s="92" t="n">
        <f aca="false">SUM(E28:E29)</f>
        <v>199.868227391304</v>
      </c>
      <c r="F30" s="92" t="n">
        <f aca="false">SUM(F28:F29)</f>
        <v>391.445019332174</v>
      </c>
      <c r="G30" s="92" t="n">
        <f aca="false">SUM(G28:G29)</f>
        <v>575.230746792435</v>
      </c>
      <c r="H30" s="92" t="n">
        <f aca="false">SUM(H28:H29)</f>
        <v>1106.75099782214</v>
      </c>
      <c r="I30" s="92" t="n">
        <f aca="false">SUM(I28:I29)</f>
        <v>1616.4804271341</v>
      </c>
      <c r="J30" s="92" t="n">
        <f aca="false">SUM(J28:J29)</f>
        <v>2105.7294562878</v>
      </c>
      <c r="K30" s="92" t="n">
        <f aca="false">SUM(K28:K29)</f>
        <v>2505.83819694227</v>
      </c>
      <c r="L30" s="92" t="n">
        <f aca="false">SUM(L28:L29)</f>
        <v>2890.90329611844</v>
      </c>
      <c r="M30" s="92" t="n">
        <f aca="false">SUM(M28:M29)</f>
        <v>3261.83576661019</v>
      </c>
      <c r="N30" s="92" t="n">
        <f aca="false">SUM(N28:N29)</f>
        <v>3415.88619320219</v>
      </c>
      <c r="O30" s="92" t="n">
        <f aca="false">SUM(O28:O29)</f>
        <v>3566.01726025892</v>
      </c>
      <c r="P30" s="92" t="n">
        <f aca="false">SUM(P28:P29)</f>
        <v>3712.4730374563</v>
      </c>
      <c r="Q30" s="92" t="n">
        <f aca="false">SUM(Q28:Q29)</f>
        <v>3822.50487093223</v>
      </c>
      <c r="R30" s="92" t="n">
        <f aca="false">SUM(R28:R29)</f>
        <v>3929.29002740308</v>
      </c>
      <c r="S30" s="92" t="n">
        <f aca="false">SUM(S28:S29)</f>
        <v>4033.03157084254</v>
      </c>
      <c r="T30" s="92" t="n">
        <f aca="false">SUM(T28:T29)</f>
        <v>4158.6697821554</v>
      </c>
      <c r="U30" s="92" t="n">
        <f aca="false">SUM(U28:U29)</f>
        <v>4278.13521243272</v>
      </c>
      <c r="V30" s="92" t="n">
        <f aca="false">SUM(V28:V29)</f>
        <v>4391.8070344526</v>
      </c>
      <c r="W30" s="92" t="n">
        <f aca="false">SUM(W28:W29)</f>
        <v>4511.5739918697</v>
      </c>
      <c r="X30" s="92" t="n">
        <f aca="false">SUM(X28:X29)</f>
        <v>4626.22095508188</v>
      </c>
      <c r="Y30" s="92" t="n">
        <f aca="false">SUM(Y28:Y29)</f>
        <v>4736.06285383355</v>
      </c>
    </row>
    <row r="31" customFormat="false" ht="15" hidden="false" customHeight="false" outlineLevel="0" collapsed="false">
      <c r="A31" s="86" t="s">
        <v>361</v>
      </c>
      <c r="B31" s="90" t="n">
        <f aca="false">B28*Assumptions!$C$29</f>
        <v>0</v>
      </c>
      <c r="C31" s="90" t="n">
        <f aca="false">C28*Assumptions!$C$29</f>
        <v>0</v>
      </c>
      <c r="D31" s="90" t="n">
        <f aca="false">D28*Assumptions!$C$29</f>
        <v>0</v>
      </c>
      <c r="E31" s="90" t="n">
        <f aca="false">E28*Assumptions!$C$29</f>
        <v>1259.16983256522</v>
      </c>
      <c r="F31" s="90" t="n">
        <f aca="false">F28*Assumptions!$C$29</f>
        <v>2443.43856480652</v>
      </c>
      <c r="G31" s="90" t="n">
        <f aca="false">G28*Assumptions!$C$29</f>
        <v>3557.30675363965</v>
      </c>
      <c r="H31" s="90" t="n">
        <f aca="false">H28*Assumptions!$C$29</f>
        <v>6841.85281356131</v>
      </c>
      <c r="I31" s="90" t="n">
        <f aca="false">I28*Assumptions!$C$29</f>
        <v>9929.99486758254</v>
      </c>
      <c r="J31" s="90" t="n">
        <f aca="false">J28*Assumptions!$C$29</f>
        <v>12833.5238436343</v>
      </c>
      <c r="K31" s="90" t="n">
        <f aca="false">K28*Assumptions!$C$29</f>
        <v>15123.2054805721</v>
      </c>
      <c r="L31" s="90" t="n">
        <f aca="false">L28*Assumptions!$C$29</f>
        <v>17276.8979067317</v>
      </c>
      <c r="M31" s="90" t="n">
        <f aca="false">M28*Assumptions!$C$29</f>
        <v>19302.7883085085</v>
      </c>
      <c r="N31" s="90" t="n">
        <f aca="false">N28*Assumptions!$C$29</f>
        <v>19925.855806485</v>
      </c>
      <c r="O31" s="90" t="n">
        <f aca="false">O28*Assumptions!$C$29</f>
        <v>20513.0161244256</v>
      </c>
      <c r="P31" s="90" t="n">
        <f aca="false">P28*Assumptions!$C$29</f>
        <v>21066.4532305295</v>
      </c>
      <c r="Q31" s="90" t="n">
        <f aca="false">Q28*Assumptions!$C$29</f>
        <v>21588.2206456515</v>
      </c>
      <c r="R31" s="90" t="n">
        <f aca="false">R28*Assumptions!$C$29</f>
        <v>22080.2492819584</v>
      </c>
      <c r="S31" s="90" t="n">
        <f aca="false">S28*Assumptions!$C$29</f>
        <v>22544.3548115008</v>
      </c>
      <c r="T31" s="90" t="n">
        <f aca="false">T28*Assumptions!$C$29</f>
        <v>23507.2445929129</v>
      </c>
      <c r="U31" s="90" t="n">
        <f aca="false">U28*Assumptions!$C$29</f>
        <v>24414.0241827553</v>
      </c>
      <c r="V31" s="90" t="n">
        <f aca="false">V28*Assumptions!$C$29</f>
        <v>25268.0934564286</v>
      </c>
      <c r="W31" s="90" t="n">
        <f aca="false">W28*Assumptions!$C$29</f>
        <v>26072.6489620873</v>
      </c>
      <c r="X31" s="90" t="n">
        <f aca="false">X28*Assumptions!$C$29</f>
        <v>26830.6961335805</v>
      </c>
      <c r="Y31" s="90" t="n">
        <f aca="false">Y28*Assumptions!$C$29</f>
        <v>27545.0607708814</v>
      </c>
    </row>
    <row r="32" customFormat="false" ht="15" hidden="false" customHeight="false" outlineLevel="0" collapsed="false">
      <c r="A32" s="86" t="s">
        <v>362</v>
      </c>
      <c r="B32" s="89" t="n">
        <f aca="false">B22*Assumptions!$C$31</f>
        <v>0</v>
      </c>
      <c r="C32" s="89" t="n">
        <f aca="false">C22*Assumptions!$C$31</f>
        <v>0</v>
      </c>
      <c r="D32" s="89" t="n">
        <f aca="false">D22*Assumptions!$C$31</f>
        <v>0</v>
      </c>
      <c r="E32" s="89" t="n">
        <f aca="false">E22*Assumptions!$C$31</f>
        <v>3102.272307</v>
      </c>
      <c r="F32" s="89" t="n">
        <f aca="false">F22*Assumptions!$C$31</f>
        <v>3104.40503007</v>
      </c>
      <c r="G32" s="89" t="n">
        <f aca="false">G22*Assumptions!$C$31</f>
        <v>3106.5590803707</v>
      </c>
      <c r="H32" s="89" t="n">
        <f aca="false">H22*Assumptions!$C$31</f>
        <v>9398.73467117441</v>
      </c>
      <c r="I32" s="89" t="n">
        <f aca="false">I22*Assumptions!$C$31</f>
        <v>9400.93201788615</v>
      </c>
      <c r="J32" s="89" t="n">
        <f aca="false">J22*Assumptions!$C$31</f>
        <v>9403.15133806501</v>
      </c>
      <c r="K32" s="89" t="n">
        <f aca="false">K22*Assumptions!$C$31</f>
        <v>7958.63436482631</v>
      </c>
      <c r="L32" s="89" t="n">
        <f aca="false">L22*Assumptions!$C$31</f>
        <v>7963.20705212284</v>
      </c>
      <c r="M32" s="89" t="n">
        <f aca="false">M22*Assumptions!$C$31</f>
        <v>7967.8711931653</v>
      </c>
      <c r="N32" s="89" t="n">
        <f aca="false">N22*Assumptions!$C$31</f>
        <v>2402.6286170286</v>
      </c>
      <c r="O32" s="89" t="n">
        <f aca="false">O22*Assumptions!$C$31</f>
        <v>2407.48118936917</v>
      </c>
      <c r="P32" s="89" t="n">
        <f aca="false">P22*Assumptions!$C$31</f>
        <v>2412.43081315656</v>
      </c>
      <c r="Q32" s="89" t="n">
        <f aca="false">Q22*Assumptions!$C$31</f>
        <v>2417.47942941969</v>
      </c>
      <c r="R32" s="89" t="n">
        <f aca="false">R22*Assumptions!$C$31</f>
        <v>2422.62901800808</v>
      </c>
      <c r="S32" s="89" t="n">
        <f aca="false">S22*Assumptions!$C$31</f>
        <v>2427.88159836824</v>
      </c>
      <c r="T32" s="89" t="n">
        <f aca="false">T22*Assumptions!$C$31</f>
        <v>2433.23923033561</v>
      </c>
      <c r="U32" s="89" t="n">
        <f aca="false">U22*Assumptions!$C$31</f>
        <v>2438.70401494232</v>
      </c>
      <c r="V32" s="89" t="n">
        <f aca="false">V22*Assumptions!$C$31</f>
        <v>2444.27809524117</v>
      </c>
      <c r="W32" s="89" t="n">
        <f aca="false">W22*Assumptions!$C$31</f>
        <v>2449.96365714599</v>
      </c>
      <c r="X32" s="89" t="n">
        <f aca="false">X22*Assumptions!$C$31</f>
        <v>2455.76293028891</v>
      </c>
      <c r="Y32" s="89" t="n">
        <f aca="false">Y22*Assumptions!$C$31</f>
        <v>2461.67818889469</v>
      </c>
    </row>
    <row r="33" customFormat="false" ht="15" hidden="false" customHeight="false" outlineLevel="0" collapsed="false">
      <c r="A33" s="86" t="s">
        <v>663</v>
      </c>
      <c r="B33" s="90" t="n">
        <f aca="false">B23*Assumptions!$C$30+B25*Assumptions!$C$30</f>
        <v>0</v>
      </c>
      <c r="C33" s="90" t="n">
        <f aca="false">C23*Assumptions!$C$30+C25*Assumptions!$C$30</f>
        <v>0</v>
      </c>
      <c r="D33" s="90" t="n">
        <f aca="false">D23*Assumptions!$C$30+D25*Assumptions!$C$30</f>
        <v>0</v>
      </c>
      <c r="E33" s="90" t="n">
        <f aca="false">E23*Assumptions!$C$30+E25*Assumptions!$C$30</f>
        <v>1335</v>
      </c>
      <c r="F33" s="90" t="n">
        <f aca="false">F23*Assumptions!$C$30+F25*Assumptions!$C$30</f>
        <v>1335</v>
      </c>
      <c r="G33" s="90" t="n">
        <f aca="false">G23*Assumptions!$C$30+G25*Assumptions!$C$30</f>
        <v>1335</v>
      </c>
      <c r="H33" s="90" t="n">
        <f aca="false">H23*Assumptions!$C$30+H25*Assumptions!$C$30</f>
        <v>2701.78571428571</v>
      </c>
      <c r="I33" s="90" t="n">
        <f aca="false">I23*Assumptions!$C$30+I25*Assumptions!$C$30</f>
        <v>2701.78571428571</v>
      </c>
      <c r="J33" s="90" t="n">
        <f aca="false">J23*Assumptions!$C$30+J25*Assumptions!$C$30</f>
        <v>2701.78571428571</v>
      </c>
      <c r="K33" s="90" t="n">
        <f aca="false">K23*Assumptions!$C$30+K25*Assumptions!$C$30</f>
        <v>2701.78571428571</v>
      </c>
      <c r="L33" s="90" t="n">
        <f aca="false">L23*Assumptions!$C$30+L25*Assumptions!$C$30</f>
        <v>2701.78571428571</v>
      </c>
      <c r="M33" s="90" t="n">
        <f aca="false">M23*Assumptions!$C$30+M25*Assumptions!$C$30</f>
        <v>2701.78571428571</v>
      </c>
      <c r="N33" s="90" t="n">
        <f aca="false">N23*Assumptions!$C$30+N25*Assumptions!$C$30</f>
        <v>4450</v>
      </c>
      <c r="O33" s="90" t="n">
        <f aca="false">O23*Assumptions!$C$30+O25*Assumptions!$C$30</f>
        <v>4450</v>
      </c>
      <c r="P33" s="90" t="n">
        <f aca="false">P23*Assumptions!$C$30+P25*Assumptions!$C$30</f>
        <v>4450</v>
      </c>
      <c r="Q33" s="90" t="n">
        <f aca="false">Q23*Assumptions!$C$30+Q25*Assumptions!$C$30</f>
        <v>6851.41675210652</v>
      </c>
      <c r="R33" s="90" t="n">
        <f aca="false">R23*Assumptions!$C$30+R25*Assumptions!$C$30</f>
        <v>6852.65465875802</v>
      </c>
      <c r="S33" s="90" t="n">
        <f aca="false">S23*Assumptions!$C$30+S25*Assumptions!$C$30</f>
        <v>6853.90494447604</v>
      </c>
      <c r="T33" s="90" t="n">
        <f aca="false">T23*Assumptions!$C$30+T25*Assumptions!$C$30</f>
        <v>13346.1560870885</v>
      </c>
      <c r="U33" s="90" t="n">
        <f aca="false">U23*Assumptions!$C$30+U25*Assumptions!$C$30</f>
        <v>13347.4315035494</v>
      </c>
      <c r="V33" s="90" t="n">
        <f aca="false">V23*Assumptions!$C$30+V25*Assumptions!$C$30</f>
        <v>13348.719674175</v>
      </c>
      <c r="W33" s="90" t="n">
        <f aca="false">W23*Assumptions!$C$30+W25*Assumptions!$C$30</f>
        <v>12510.2717788386</v>
      </c>
      <c r="X33" s="90" t="n">
        <f aca="false">X23*Assumptions!$C$30+X25*Assumptions!$C$30</f>
        <v>12512.9259255955</v>
      </c>
      <c r="Y33" s="90" t="n">
        <f aca="false">Y23*Assumptions!$C$30+Y25*Assumptions!$C$30</f>
        <v>12515.6331552876</v>
      </c>
    </row>
    <row r="34" customFormat="false" ht="15" hidden="false" customHeight="false" outlineLevel="0" collapsed="false">
      <c r="A34" s="91" t="s">
        <v>365</v>
      </c>
      <c r="B34" s="93" t="n">
        <f aca="false">SUM(B31:B33)</f>
        <v>0</v>
      </c>
      <c r="C34" s="93" t="n">
        <f aca="false">SUM(C31:C33)</f>
        <v>0</v>
      </c>
      <c r="D34" s="93" t="n">
        <f aca="false">SUM(D31:D33)</f>
        <v>0</v>
      </c>
      <c r="E34" s="93" t="n">
        <f aca="false">SUM(E31:E33)</f>
        <v>5696.44213956522</v>
      </c>
      <c r="F34" s="93" t="n">
        <f aca="false">SUM(F31:F33)</f>
        <v>6882.84359487652</v>
      </c>
      <c r="G34" s="93" t="n">
        <f aca="false">SUM(G31:G33)</f>
        <v>7998.86583401035</v>
      </c>
      <c r="H34" s="93" t="n">
        <f aca="false">SUM(H31:H33)</f>
        <v>18942.3731990214</v>
      </c>
      <c r="I34" s="93" t="n">
        <f aca="false">SUM(I31:I33)</f>
        <v>22032.7125997544</v>
      </c>
      <c r="J34" s="93" t="n">
        <f aca="false">SUM(J31:J33)</f>
        <v>24938.4608959851</v>
      </c>
      <c r="K34" s="93" t="n">
        <f aca="false">SUM(K31:K33)</f>
        <v>25783.6255596841</v>
      </c>
      <c r="L34" s="93" t="n">
        <f aca="false">SUM(L31:L33)</f>
        <v>27941.8906731402</v>
      </c>
      <c r="M34" s="93" t="n">
        <f aca="false">SUM(M31:M33)</f>
        <v>29972.4452159595</v>
      </c>
      <c r="N34" s="93" t="n">
        <f aca="false">SUM(N31:N33)</f>
        <v>26778.4844235136</v>
      </c>
      <c r="O34" s="93" t="n">
        <f aca="false">SUM(O31:O33)</f>
        <v>27370.4973137948</v>
      </c>
      <c r="P34" s="93" t="n">
        <f aca="false">SUM(P31:P33)</f>
        <v>27928.884043686</v>
      </c>
      <c r="Q34" s="93" t="n">
        <f aca="false">SUM(Q31:Q33)</f>
        <v>30857.1168271777</v>
      </c>
      <c r="R34" s="93" t="n">
        <f aca="false">SUM(R31:R33)</f>
        <v>31355.5329587245</v>
      </c>
      <c r="S34" s="93" t="n">
        <f aca="false">SUM(S31:S33)</f>
        <v>31826.1413543451</v>
      </c>
      <c r="T34" s="93" t="n">
        <f aca="false">SUM(T31:T33)</f>
        <v>39286.639910337</v>
      </c>
      <c r="U34" s="93" t="n">
        <f aca="false">SUM(U31:U33)</f>
        <v>40200.1597012471</v>
      </c>
      <c r="V34" s="93" t="n">
        <f aca="false">SUM(V31:V33)</f>
        <v>41061.0912258448</v>
      </c>
      <c r="W34" s="93" t="n">
        <f aca="false">SUM(W31:W33)</f>
        <v>41032.884398072</v>
      </c>
      <c r="X34" s="93" t="n">
        <f aca="false">SUM(X31:X33)</f>
        <v>41799.3849894649</v>
      </c>
      <c r="Y34" s="93" t="n">
        <f aca="false">SUM(Y31:Y33)</f>
        <v>42522.3721150637</v>
      </c>
    </row>
    <row r="35" customFormat="false" ht="15" hidden="false" customHeight="false" outlineLevel="0" collapsed="false">
      <c r="A35" s="86" t="s">
        <v>366</v>
      </c>
      <c r="B35" s="90" t="n">
        <f aca="false">B28*Assumptions!$C$37</f>
        <v>0</v>
      </c>
      <c r="C35" s="90" t="n">
        <f aca="false">C28*Assumptions!$C$37</f>
        <v>0</v>
      </c>
      <c r="D35" s="90" t="n">
        <f aca="false">D28*Assumptions!$C$37</f>
        <v>0</v>
      </c>
      <c r="E35" s="90" t="n">
        <f aca="false">E28*Assumptions!$C$37</f>
        <v>702.405758147719</v>
      </c>
      <c r="F35" s="90" t="n">
        <f aca="false">F28*Assumptions!$C$37</f>
        <v>1363.02925404735</v>
      </c>
      <c r="G35" s="90" t="n">
        <f aca="false">G28*Assumptions!$C$37</f>
        <v>1984.3810442662</v>
      </c>
      <c r="H35" s="90" t="n">
        <f aca="false">H28*Assumptions!$C$37</f>
        <v>3816.60732996931</v>
      </c>
      <c r="I35" s="90" t="n">
        <f aca="false">I28*Assumptions!$C$37</f>
        <v>5539.27309325529</v>
      </c>
      <c r="J35" s="90" t="n">
        <f aca="false">J28*Assumptions!$C$37</f>
        <v>7158.95569601642</v>
      </c>
      <c r="K35" s="90" t="n">
        <f aca="false">K28*Assumptions!$C$37</f>
        <v>8436.21435050129</v>
      </c>
      <c r="L35" s="90" t="n">
        <f aca="false">L28*Assumptions!$C$37</f>
        <v>9637.61381409213</v>
      </c>
      <c r="M35" s="90" t="n">
        <f aca="false">M28*Assumptions!$C$37</f>
        <v>10767.7211648101</v>
      </c>
      <c r="N35" s="90" t="n">
        <f aca="false">N28*Assumptions!$C$37</f>
        <v>11115.2884166412</v>
      </c>
      <c r="O35" s="90" t="n">
        <f aca="false">O28*Assumptions!$C$37</f>
        <v>11442.8254792447</v>
      </c>
      <c r="P35" s="90" t="n">
        <f aca="false">P28*Assumptions!$C$37</f>
        <v>11751.5506408919</v>
      </c>
      <c r="Q35" s="90" t="n">
        <f aca="false">Q28*Assumptions!$C$37</f>
        <v>12042.6094220961</v>
      </c>
      <c r="R35" s="90" t="n">
        <f aca="false">R28*Assumptions!$C$37</f>
        <v>12317.0789482691</v>
      </c>
      <c r="S35" s="90" t="n">
        <f aca="false">S28*Assumptions!$C$37</f>
        <v>12575.9720601496</v>
      </c>
      <c r="T35" s="90" t="n">
        <f aca="false">T28*Assumptions!$C$37</f>
        <v>13113.1031995985</v>
      </c>
      <c r="U35" s="90" t="n">
        <f aca="false">U28*Assumptions!$C$37</f>
        <v>13618.9342549523</v>
      </c>
      <c r="V35" s="90" t="n">
        <f aca="false">V28*Assumptions!$C$37</f>
        <v>14095.3617869422</v>
      </c>
      <c r="W35" s="90" t="n">
        <f aca="false">W28*Assumptions!$C$37</f>
        <v>14544.1689337691</v>
      </c>
      <c r="X35" s="90" t="n">
        <f aca="false">X28*Assumptions!$C$37</f>
        <v>14967.032223878</v>
      </c>
      <c r="Y35" s="90" t="n">
        <f aca="false">Y28*Assumptions!$C$37</f>
        <v>15365.5279801137</v>
      </c>
    </row>
    <row r="36" customFormat="false" ht="15" hidden="false" customHeight="false" outlineLevel="0" collapsed="false">
      <c r="A36" s="86" t="s">
        <v>664</v>
      </c>
      <c r="B36" s="89" t="n">
        <f aca="false">B22*Assumptions!$C$39</f>
        <v>0</v>
      </c>
      <c r="C36" s="89" t="n">
        <f aca="false">C22*Assumptions!$C$39</f>
        <v>0</v>
      </c>
      <c r="D36" s="89" t="n">
        <f aca="false">D22*Assumptions!$C$39</f>
        <v>0</v>
      </c>
      <c r="E36" s="89" t="n">
        <f aca="false">E22*Assumptions!$C$39</f>
        <v>1410.72682242765</v>
      </c>
      <c r="F36" s="89" t="n">
        <f aca="false">F22*Assumptions!$C$39</f>
        <v>1411.69665658208</v>
      </c>
      <c r="G36" s="89" t="n">
        <f aca="false">G22*Assumptions!$C$39</f>
        <v>1412.67618907805</v>
      </c>
      <c r="H36" s="89" t="n">
        <f aca="false">H22*Assumptions!$C$39</f>
        <v>4273.97913058394</v>
      </c>
      <c r="I36" s="89" t="n">
        <f aca="false">I22*Assumptions!$C$39</f>
        <v>4274.97835168308</v>
      </c>
      <c r="J36" s="89" t="n">
        <f aca="false">J22*Assumptions!$C$39</f>
        <v>4275.98756499321</v>
      </c>
      <c r="K36" s="89" t="n">
        <f aca="false">K22*Assumptions!$C$39</f>
        <v>3619.10814309279</v>
      </c>
      <c r="L36" s="89" t="n">
        <f aca="false">L22*Assumptions!$C$39</f>
        <v>3621.18752619699</v>
      </c>
      <c r="M36" s="89" t="n">
        <f aca="false">M22*Assumptions!$C$39</f>
        <v>3623.30849696326</v>
      </c>
      <c r="N36" s="89" t="n">
        <f aca="false">N22*Assumptions!$C$39</f>
        <v>1092.57096055898</v>
      </c>
      <c r="O36" s="89" t="n">
        <f aca="false">O22*Assumptions!$C$39</f>
        <v>1094.77761854421</v>
      </c>
      <c r="P36" s="89" t="n">
        <f aca="false">P22*Assumptions!$C$39</f>
        <v>1097.02840968915</v>
      </c>
      <c r="Q36" s="89" t="n">
        <f aca="false">Q22*Assumptions!$C$39</f>
        <v>1099.32421665699</v>
      </c>
      <c r="R36" s="89" t="n">
        <f aca="false">R22*Assumptions!$C$39</f>
        <v>1101.66593976419</v>
      </c>
      <c r="S36" s="89" t="n">
        <f aca="false">S22*Assumptions!$C$39</f>
        <v>1104.05449733353</v>
      </c>
      <c r="T36" s="89" t="n">
        <f aca="false">T22*Assumptions!$C$39</f>
        <v>1106.49082605425</v>
      </c>
      <c r="U36" s="89" t="n">
        <f aca="false">U22*Assumptions!$C$39</f>
        <v>1108.97588134939</v>
      </c>
      <c r="V36" s="89" t="n">
        <f aca="false">V22*Assumptions!$C$39</f>
        <v>1111.51063775044</v>
      </c>
      <c r="W36" s="89" t="n">
        <f aca="false">W22*Assumptions!$C$39</f>
        <v>1114.0960892795</v>
      </c>
      <c r="X36" s="89" t="n">
        <f aca="false">X22*Assumptions!$C$39</f>
        <v>1116.73324983915</v>
      </c>
      <c r="Y36" s="89" t="n">
        <f aca="false">Y22*Assumptions!$C$39</f>
        <v>1119.42315360999</v>
      </c>
    </row>
    <row r="37" customFormat="false" ht="15" hidden="false" customHeight="false" outlineLevel="0" collapsed="false">
      <c r="A37" s="86" t="s">
        <v>665</v>
      </c>
      <c r="B37" s="90" t="n">
        <f aca="false">SUM(B23,B25)*Assumptions!$C$38</f>
        <v>0</v>
      </c>
      <c r="C37" s="90" t="n">
        <f aca="false">SUM(C23,C25)*Assumptions!$C$38</f>
        <v>0</v>
      </c>
      <c r="D37" s="90" t="n">
        <f aca="false">SUM(D23,D25)*Assumptions!$C$38</f>
        <v>0</v>
      </c>
      <c r="E37" s="90" t="n">
        <f aca="false">SUM(E23,E25)*Assumptions!$C$38</f>
        <v>672.295081967213</v>
      </c>
      <c r="F37" s="90" t="n">
        <f aca="false">SUM(F23,F25)*Assumptions!$C$38</f>
        <v>672.295081967213</v>
      </c>
      <c r="G37" s="90" t="n">
        <f aca="false">SUM(G23,G25)*Assumptions!$C$38</f>
        <v>672.295081967213</v>
      </c>
      <c r="H37" s="90" t="n">
        <f aca="false">SUM(H23,H25)*Assumptions!$C$38</f>
        <v>1360.59718969555</v>
      </c>
      <c r="I37" s="90" t="n">
        <f aca="false">SUM(I23,I25)*Assumptions!$C$38</f>
        <v>1360.59718969555</v>
      </c>
      <c r="J37" s="90" t="n">
        <f aca="false">SUM(J23,J25)*Assumptions!$C$38</f>
        <v>1360.59718969555</v>
      </c>
      <c r="K37" s="90" t="n">
        <f aca="false">SUM(K23,K25)*Assumptions!$C$38</f>
        <v>1360.59718969555</v>
      </c>
      <c r="L37" s="90" t="n">
        <f aca="false">SUM(L23,L25)*Assumptions!$C$38</f>
        <v>1360.59718969555</v>
      </c>
      <c r="M37" s="90" t="n">
        <f aca="false">SUM(M23,M25)*Assumptions!$C$38</f>
        <v>1360.59718969555</v>
      </c>
      <c r="N37" s="90" t="n">
        <f aca="false">SUM(N23,N25)*Assumptions!$C$38</f>
        <v>2240.98360655738</v>
      </c>
      <c r="O37" s="90" t="n">
        <f aca="false">SUM(O23,O25)*Assumptions!$C$38</f>
        <v>2240.98360655738</v>
      </c>
      <c r="P37" s="90" t="n">
        <f aca="false">SUM(P23,P25)*Assumptions!$C$38</f>
        <v>2240.98360655738</v>
      </c>
      <c r="Q37" s="90" t="n">
        <f aca="false">SUM(Q23,Q25)*Assumptions!$C$38</f>
        <v>3450.31744340748</v>
      </c>
      <c r="R37" s="90" t="n">
        <f aca="false">SUM(R23,R25)*Assumptions!$C$38</f>
        <v>3450.94084307321</v>
      </c>
      <c r="S37" s="90" t="n">
        <f aca="false">SUM(S23,S25)*Assumptions!$C$38</f>
        <v>3451.57047673558</v>
      </c>
      <c r="T37" s="90" t="n">
        <f aca="false">SUM(T23,T25)*Assumptions!$C$38</f>
        <v>6721.01505656658</v>
      </c>
      <c r="U37" s="90" t="n">
        <f aca="false">SUM(U23,U25)*Assumptions!$C$38</f>
        <v>6721.65734586557</v>
      </c>
      <c r="V37" s="90" t="n">
        <f aca="false">SUM(V23,V25)*Assumptions!$C$38</f>
        <v>6722.30605805755</v>
      </c>
      <c r="W37" s="90" t="n">
        <f aca="false">SUM(W23,W25)*Assumptions!$C$38</f>
        <v>6300.07055504601</v>
      </c>
      <c r="X37" s="90" t="n">
        <f aca="false">SUM(X23,X25)*Assumptions!$C$38</f>
        <v>6301.40716164637</v>
      </c>
      <c r="Y37" s="90" t="n">
        <f aca="false">SUM(Y23,Y25)*Assumptions!$C$38</f>
        <v>6302.77050037874</v>
      </c>
    </row>
    <row r="38" customFormat="false" ht="15" hidden="false" customHeight="false" outlineLevel="0" collapsed="false">
      <c r="A38" s="94" t="s">
        <v>369</v>
      </c>
      <c r="B38" s="95" t="n">
        <f aca="false">SUM(B35:B37)</f>
        <v>0</v>
      </c>
      <c r="C38" s="95" t="n">
        <f aca="false">SUM(C35:C37)</f>
        <v>0</v>
      </c>
      <c r="D38" s="95" t="n">
        <f aca="false">SUM(D35:D37)</f>
        <v>0</v>
      </c>
      <c r="E38" s="95" t="n">
        <f aca="false">SUM(E35:E37)</f>
        <v>2785.42766254259</v>
      </c>
      <c r="F38" s="95" t="n">
        <f aca="false">SUM(F35:F37)</f>
        <v>3447.02099259665</v>
      </c>
      <c r="G38" s="95" t="n">
        <f aca="false">SUM(G35:G37)</f>
        <v>4069.35231531146</v>
      </c>
      <c r="H38" s="95" t="n">
        <f aca="false">SUM(H35:H37)</f>
        <v>9451.1836502488</v>
      </c>
      <c r="I38" s="95" t="n">
        <f aca="false">SUM(I35:I37)</f>
        <v>11174.8486346339</v>
      </c>
      <c r="J38" s="95" t="n">
        <f aca="false">SUM(J35:J37)</f>
        <v>12795.5404507052</v>
      </c>
      <c r="K38" s="95" t="n">
        <f aca="false">SUM(K35:K37)</f>
        <v>13415.9196832896</v>
      </c>
      <c r="L38" s="95" t="n">
        <f aca="false">SUM(L35:L37)</f>
        <v>14619.3985299847</v>
      </c>
      <c r="M38" s="95" t="n">
        <f aca="false">SUM(M35:M37)</f>
        <v>15751.6268514689</v>
      </c>
      <c r="N38" s="95" t="n">
        <f aca="false">SUM(N35:N37)</f>
        <v>14448.8429837576</v>
      </c>
      <c r="O38" s="95" t="n">
        <f aca="false">SUM(O35:O37)</f>
        <v>14778.5867043463</v>
      </c>
      <c r="P38" s="95" t="n">
        <f aca="false">SUM(P35:P37)</f>
        <v>15089.5626571384</v>
      </c>
      <c r="Q38" s="95" t="n">
        <f aca="false">SUM(Q35:Q37)</f>
        <v>16592.2510821606</v>
      </c>
      <c r="R38" s="95" t="n">
        <f aca="false">SUM(R35:R37)</f>
        <v>16869.6857311065</v>
      </c>
      <c r="S38" s="95" t="n">
        <f aca="false">SUM(S35:S37)</f>
        <v>17131.5970342187</v>
      </c>
      <c r="T38" s="95" t="n">
        <f aca="false">SUM(T35:T37)</f>
        <v>20940.6090822193</v>
      </c>
      <c r="U38" s="95" t="n">
        <f aca="false">SUM(U35:U37)</f>
        <v>21449.5674821673</v>
      </c>
      <c r="V38" s="95" t="n">
        <f aca="false">SUM(V35:V37)</f>
        <v>21929.1784827502</v>
      </c>
      <c r="W38" s="95" t="n">
        <f aca="false">SUM(W35:W37)</f>
        <v>21958.3355780946</v>
      </c>
      <c r="X38" s="95" t="n">
        <f aca="false">SUM(X35:X37)</f>
        <v>22385.1726353635</v>
      </c>
      <c r="Y38" s="95" t="n">
        <f aca="false">SUM(Y35:Y37)</f>
        <v>22787.7216341024</v>
      </c>
    </row>
    <row r="39" customFormat="false" ht="15" hidden="false" customHeight="false" outlineLevel="0" collapsed="false">
      <c r="A39" s="86" t="s">
        <v>370</v>
      </c>
      <c r="B39" s="90" t="n">
        <f aca="false">-SUM(B16:B17)</f>
        <v>-0</v>
      </c>
      <c r="C39" s="90" t="n">
        <f aca="false">-SUM(C16:C17)</f>
        <v>-0</v>
      </c>
      <c r="D39" s="90" t="n">
        <f aca="false">-SUM(D16:D17)</f>
        <v>-0</v>
      </c>
      <c r="E39" s="90" t="n">
        <f aca="false">-SUM(E16:E17)</f>
        <v>-0</v>
      </c>
      <c r="F39" s="90" t="n">
        <f aca="false">-SUM(F16:F17)</f>
        <v>-0</v>
      </c>
      <c r="G39" s="90" t="n">
        <f aca="false">-SUM(G16:G17)</f>
        <v>-0</v>
      </c>
      <c r="H39" s="90" t="n">
        <f aca="false">-SUM(H16:H17)</f>
        <v>-7000</v>
      </c>
      <c r="I39" s="90" t="n">
        <f aca="false">-SUM(I16:I17)</f>
        <v>-7000</v>
      </c>
      <c r="J39" s="90" t="n">
        <f aca="false">-SUM(J16:J17)</f>
        <v>-7000</v>
      </c>
      <c r="K39" s="90" t="n">
        <f aca="false">-SUM(K16:K17)</f>
        <v>-7000</v>
      </c>
      <c r="L39" s="90" t="n">
        <f aca="false">-SUM(L16:L17)</f>
        <v>-7000</v>
      </c>
      <c r="M39" s="90" t="n">
        <f aca="false">-SUM(M16:M17)</f>
        <v>-7000</v>
      </c>
      <c r="N39" s="90" t="n">
        <f aca="false">-SUM(N16:N17)</f>
        <v>-4666.66666666667</v>
      </c>
      <c r="O39" s="90" t="n">
        <f aca="false">-SUM(O16:O17)</f>
        <v>-4666.66666666667</v>
      </c>
      <c r="P39" s="90" t="n">
        <f aca="false">-SUM(P16:P17)</f>
        <v>-4666.66666666667</v>
      </c>
      <c r="Q39" s="90" t="n">
        <f aca="false">-SUM(Q16:Q17)</f>
        <v>-4666.66666666667</v>
      </c>
      <c r="R39" s="90" t="n">
        <f aca="false">-SUM(R16:R17)</f>
        <v>-4666.66666666667</v>
      </c>
      <c r="S39" s="90" t="n">
        <f aca="false">-SUM(S16:S17)</f>
        <v>-4666.66666666667</v>
      </c>
      <c r="T39" s="90" t="n">
        <f aca="false">-SUM(T16:T17)</f>
        <v>-5000</v>
      </c>
      <c r="U39" s="90" t="n">
        <f aca="false">-SUM(U16:U17)</f>
        <v>-5000</v>
      </c>
      <c r="V39" s="90" t="n">
        <f aca="false">-SUM(V16:V17)</f>
        <v>-5000</v>
      </c>
      <c r="W39" s="90" t="n">
        <f aca="false">-SUM(W16:W17)</f>
        <v>-5000</v>
      </c>
      <c r="X39" s="90" t="n">
        <f aca="false">-SUM(X16:X17)</f>
        <v>-5000</v>
      </c>
      <c r="Y39" s="90" t="n">
        <f aca="false">-SUM(Y16:Y17)</f>
        <v>-5000</v>
      </c>
    </row>
    <row r="40" customFormat="false" ht="15" hidden="false" customHeight="false" outlineLevel="0" collapsed="false">
      <c r="A40" s="91" t="s">
        <v>371</v>
      </c>
      <c r="B40" s="93" t="n">
        <f aca="false">SUM(B38:B39)</f>
        <v>0</v>
      </c>
      <c r="C40" s="93" t="n">
        <f aca="false">SUM(C38:C39)</f>
        <v>0</v>
      </c>
      <c r="D40" s="93" t="n">
        <f aca="false">SUM(D38:D39)</f>
        <v>0</v>
      </c>
      <c r="E40" s="93" t="n">
        <f aca="false">SUM(E38:E39)</f>
        <v>2785.42766254259</v>
      </c>
      <c r="F40" s="93" t="n">
        <f aca="false">SUM(F38:F39)</f>
        <v>3447.02099259665</v>
      </c>
      <c r="G40" s="93" t="n">
        <f aca="false">SUM(G38:G39)</f>
        <v>4069.35231531146</v>
      </c>
      <c r="H40" s="93" t="n">
        <f aca="false">SUM(H38:H39)</f>
        <v>2451.1836502488</v>
      </c>
      <c r="I40" s="93" t="n">
        <f aca="false">SUM(I38:I39)</f>
        <v>4174.84863463392</v>
      </c>
      <c r="J40" s="93" t="n">
        <f aca="false">SUM(J38:J39)</f>
        <v>5795.54045070518</v>
      </c>
      <c r="K40" s="93" t="n">
        <f aca="false">SUM(K38:K39)</f>
        <v>6415.91968328963</v>
      </c>
      <c r="L40" s="93" t="n">
        <f aca="false">SUM(L38:L39)</f>
        <v>7619.39852998466</v>
      </c>
      <c r="M40" s="93" t="n">
        <f aca="false">SUM(M38:M39)</f>
        <v>8751.6268514689</v>
      </c>
      <c r="N40" s="93" t="n">
        <f aca="false">SUM(N38:N39)</f>
        <v>9782.1763170909</v>
      </c>
      <c r="O40" s="93" t="n">
        <f aca="false">SUM(O38:O39)</f>
        <v>10111.9200376796</v>
      </c>
      <c r="P40" s="93" t="n">
        <f aca="false">SUM(P38:P39)</f>
        <v>10422.8959904718</v>
      </c>
      <c r="Q40" s="93" t="n">
        <f aca="false">SUM(Q38:Q39)</f>
        <v>11925.5844154939</v>
      </c>
      <c r="R40" s="93" t="n">
        <f aca="false">SUM(R38:R39)</f>
        <v>12203.0190644399</v>
      </c>
      <c r="S40" s="93" t="n">
        <f aca="false">SUM(S38:S39)</f>
        <v>12464.930367552</v>
      </c>
      <c r="T40" s="93" t="n">
        <f aca="false">SUM(T38:T39)</f>
        <v>15940.6090822193</v>
      </c>
      <c r="U40" s="93" t="n">
        <f aca="false">SUM(U38:U39)</f>
        <v>16449.5674821673</v>
      </c>
      <c r="V40" s="93" t="n">
        <f aca="false">SUM(V38:V39)</f>
        <v>16929.1784827502</v>
      </c>
      <c r="W40" s="93" t="n">
        <f aca="false">SUM(W38:W39)</f>
        <v>16958.3355780946</v>
      </c>
      <c r="X40" s="93" t="n">
        <f aca="false">SUM(X38:X39)</f>
        <v>17385.1726353635</v>
      </c>
      <c r="Y40" s="93" t="n">
        <f aca="false">SUM(Y38:Y39)</f>
        <v>17787.7216341024</v>
      </c>
    </row>
    <row r="41" customFormat="false" ht="15" hidden="false" customHeight="false" outlineLevel="0" collapsed="false">
      <c r="A41" s="86" t="s">
        <v>372</v>
      </c>
      <c r="B41" s="90" t="n">
        <f aca="false">B28*Assumptions!$C$29+B29*Assumptions!$C$30/12</f>
        <v>0</v>
      </c>
      <c r="C41" s="90" t="n">
        <f aca="false">C28*Assumptions!$C$29+C29*Assumptions!$C$30/12</f>
        <v>0</v>
      </c>
      <c r="D41" s="90" t="n">
        <f aca="false">D28*Assumptions!$C$29+D29*Assumptions!$C$30/12</f>
        <v>0</v>
      </c>
      <c r="E41" s="90" t="n">
        <f aca="false">E28*Assumptions!$C$29+E29*Assumptions!$C$30/12</f>
        <v>1703.87663851087</v>
      </c>
      <c r="F41" s="90" t="n">
        <f aca="false">F28*Assumptions!$C$29+F29*Assumptions!$C$30/12</f>
        <v>3333.08141867033</v>
      </c>
      <c r="G41" s="90" t="n">
        <f aca="false">G28*Assumptions!$C$29+G29*Assumptions!$C$30/12</f>
        <v>4892.11718981383</v>
      </c>
      <c r="H41" s="90" t="n">
        <f aca="false">H28*Assumptions!$C$29+H29*Assumptions!$C$30/12</f>
        <v>9412.06252512225</v>
      </c>
      <c r="I41" s="90" t="n">
        <f aca="false">I28*Assumptions!$C$29+I29*Assumptions!$C$30/12</f>
        <v>13735.8400427638</v>
      </c>
      <c r="J41" s="90" t="n">
        <f aca="false">J28*Assumptions!$C$29+J29*Assumptions!$C$30/12</f>
        <v>17875.2430325517</v>
      </c>
      <c r="K41" s="90" t="n">
        <f aca="false">K28*Assumptions!$C$29+K29*Assumptions!$C$30/12</f>
        <v>21245.5305544595</v>
      </c>
      <c r="L41" s="90" t="n">
        <f aca="false">L28*Assumptions!$C$29+L29*Assumptions!$C$30/12</f>
        <v>24480.3203742479</v>
      </c>
      <c r="M41" s="90" t="n">
        <f aca="false">M28*Assumptions!$C$29+M29*Assumptions!$C$30/12</f>
        <v>27587.8095084854</v>
      </c>
      <c r="N41" s="90" t="n">
        <f aca="false">N28*Assumptions!$C$29+N29*Assumptions!$C$30/12</f>
        <v>28839.963898872</v>
      </c>
      <c r="O41" s="90" t="n">
        <f aca="false">O28*Assumptions!$C$29+O29*Assumptions!$C$30/12</f>
        <v>30056.7327021434</v>
      </c>
      <c r="P41" s="90" t="n">
        <f aca="false">P28*Assumptions!$C$29+P29*Assumptions!$C$30/12</f>
        <v>31240.310318357</v>
      </c>
      <c r="Q41" s="90" t="n">
        <f aca="false">Q28*Assumptions!$C$29+Q29*Assumptions!$C$30/12</f>
        <v>32148.1721655934</v>
      </c>
      <c r="R41" s="90" t="n">
        <f aca="false">R28*Assumptions!$C$29+R29*Assumptions!$C$30/12</f>
        <v>33026.7226695099</v>
      </c>
      <c r="S41" s="90" t="n">
        <f aca="false">S28*Assumptions!$C$29+S29*Assumptions!$C$30/12</f>
        <v>33877.787311698</v>
      </c>
      <c r="T41" s="90" t="n">
        <f aca="false">T28*Assumptions!$C$29+T29*Assumptions!$C$30/12</f>
        <v>34979.0013219613</v>
      </c>
      <c r="U41" s="90" t="n">
        <f aca="false">U28*Assumptions!$C$29+U29*Assumptions!$C$30/12</f>
        <v>36024.5626354718</v>
      </c>
      <c r="V41" s="90" t="n">
        <f aca="false">V28*Assumptions!$C$29+V29*Assumptions!$C$30/12</f>
        <v>37017.8815765618</v>
      </c>
      <c r="W41" s="90" t="n">
        <f aca="false">W28*Assumptions!$C$29+W29*Assumptions!$C$30/12</f>
        <v>38047.6953496971</v>
      </c>
      <c r="X41" s="90" t="n">
        <f aca="false">X28*Assumptions!$C$29+X29*Assumptions!$C$30/12</f>
        <v>39031.3538107279</v>
      </c>
      <c r="Y41" s="90" t="n">
        <f aca="false">Y28*Assumptions!$C$29+Y29*Assumptions!$C$30/12</f>
        <v>39971.6898200687</v>
      </c>
    </row>
    <row r="42" customFormat="false" ht="15" hidden="false" customHeight="false" outlineLevel="0" collapsed="false">
      <c r="A42" s="91" t="s">
        <v>373</v>
      </c>
      <c r="B42" s="93" t="n">
        <f aca="false">B41*12</f>
        <v>0</v>
      </c>
      <c r="C42" s="93" t="n">
        <f aca="false">C41*12</f>
        <v>0</v>
      </c>
      <c r="D42" s="93" t="n">
        <f aca="false">D41*12</f>
        <v>0</v>
      </c>
      <c r="E42" s="93" t="n">
        <f aca="false">E41*12</f>
        <v>20446.5196621304</v>
      </c>
      <c r="F42" s="93" t="n">
        <f aca="false">F41*12</f>
        <v>39996.9770240439</v>
      </c>
      <c r="G42" s="93" t="n">
        <f aca="false">G41*12</f>
        <v>58705.406277766</v>
      </c>
      <c r="H42" s="93" t="n">
        <f aca="false">H41*12</f>
        <v>112944.750301467</v>
      </c>
      <c r="I42" s="93" t="n">
        <f aca="false">I41*12</f>
        <v>164830.080513165</v>
      </c>
      <c r="J42" s="93" t="n">
        <f aca="false">J41*12</f>
        <v>214502.91639062</v>
      </c>
      <c r="K42" s="93" t="n">
        <f aca="false">K41*12</f>
        <v>254946.366653515</v>
      </c>
      <c r="L42" s="93" t="n">
        <f aca="false">L41*12</f>
        <v>293763.844490975</v>
      </c>
      <c r="M42" s="93" t="n">
        <f aca="false">M41*12</f>
        <v>331053.714101825</v>
      </c>
      <c r="N42" s="93" t="n">
        <f aca="false">N41*12</f>
        <v>346079.566786464</v>
      </c>
      <c r="O42" s="93" t="n">
        <f aca="false">O41*12</f>
        <v>360680.79242572</v>
      </c>
      <c r="P42" s="93" t="n">
        <f aca="false">P41*12</f>
        <v>374883.723820284</v>
      </c>
      <c r="Q42" s="93" t="n">
        <f aca="false">Q41*12</f>
        <v>385778.065987121</v>
      </c>
      <c r="R42" s="93" t="n">
        <f aca="false">R41*12</f>
        <v>396320.672034119</v>
      </c>
      <c r="S42" s="93" t="n">
        <f aca="false">S41*12</f>
        <v>406533.447740376</v>
      </c>
      <c r="T42" s="93" t="n">
        <f aca="false">T41*12</f>
        <v>419748.015863535</v>
      </c>
      <c r="U42" s="93" t="n">
        <f aca="false">U41*12</f>
        <v>432294.751625662</v>
      </c>
      <c r="V42" s="93" t="n">
        <f aca="false">V41*12</f>
        <v>444214.578918742</v>
      </c>
      <c r="W42" s="93" t="n">
        <f aca="false">W41*12</f>
        <v>456572.344196366</v>
      </c>
      <c r="X42" s="93" t="n">
        <f aca="false">X41*12</f>
        <v>468376.245728735</v>
      </c>
      <c r="Y42" s="93" t="n">
        <f aca="false">Y41*12</f>
        <v>479660.277840825</v>
      </c>
    </row>
  </sheetData>
  <mergeCells count="4">
    <mergeCell ref="A1:Y1"/>
    <mergeCell ref="A2:Y2"/>
    <mergeCell ref="A4:G4"/>
    <mergeCell ref="A12:Y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22"/>
  </cols>
  <sheetData>
    <row r="1" customFormat="false" ht="33.75" hidden="false" customHeight="true" outlineLevel="0" collapsed="false">
      <c r="A1" s="60" t="s">
        <v>666</v>
      </c>
      <c r="B1" s="60"/>
      <c r="C1" s="60"/>
      <c r="D1" s="60"/>
      <c r="E1" s="60"/>
      <c r="F1" s="60"/>
      <c r="G1" s="60"/>
      <c r="H1" s="60"/>
    </row>
    <row r="2" customFormat="false" ht="33.75" hidden="false" customHeight="true" outlineLevel="0" collapsed="false">
      <c r="A2" s="61" t="s">
        <v>667</v>
      </c>
      <c r="B2" s="61"/>
      <c r="C2" s="61"/>
      <c r="D2" s="61"/>
      <c r="E2" s="61"/>
      <c r="F2" s="61"/>
      <c r="G2" s="61"/>
      <c r="H2" s="61"/>
    </row>
    <row r="4" customFormat="false" ht="22.5" hidden="false" customHeight="true" outlineLevel="0" collapsed="false">
      <c r="A4" s="62" t="s">
        <v>668</v>
      </c>
      <c r="B4" s="62"/>
      <c r="C4" s="62"/>
      <c r="D4" s="62"/>
      <c r="E4" s="62"/>
      <c r="F4" s="62"/>
      <c r="G4" s="62"/>
      <c r="H4" s="62"/>
    </row>
    <row r="5" customFormat="false" ht="15" hidden="false" customHeight="false" outlineLevel="0" collapsed="false">
      <c r="A5" s="63" t="s">
        <v>669</v>
      </c>
      <c r="B5" s="63" t="s">
        <v>112</v>
      </c>
      <c r="C5" s="63" t="s">
        <v>60</v>
      </c>
      <c r="D5" s="63" t="s">
        <v>670</v>
      </c>
      <c r="E5" s="63" t="s">
        <v>671</v>
      </c>
      <c r="F5" s="63" t="s">
        <v>425</v>
      </c>
      <c r="G5" s="63" t="s">
        <v>65</v>
      </c>
      <c r="H5" s="63" t="s">
        <v>672</v>
      </c>
    </row>
    <row r="6" customFormat="false" ht="37.5" hidden="false" customHeight="true" outlineLevel="0" collapsed="false">
      <c r="A6" s="64" t="s">
        <v>673</v>
      </c>
      <c r="B6" s="65" t="n">
        <f aca="false">Assumptions!$C$29</f>
        <v>9</v>
      </c>
      <c r="C6" s="64" t="s">
        <v>100</v>
      </c>
      <c r="D6" s="64" t="s">
        <v>674</v>
      </c>
      <c r="E6" s="64" t="s">
        <v>675</v>
      </c>
      <c r="F6" s="64" t="s">
        <v>676</v>
      </c>
      <c r="G6" s="64" t="s">
        <v>116</v>
      </c>
      <c r="H6" s="64" t="s">
        <v>677</v>
      </c>
    </row>
    <row r="7" customFormat="false" ht="37.5" hidden="false" customHeight="true" outlineLevel="0" collapsed="false">
      <c r="A7" s="67" t="s">
        <v>678</v>
      </c>
      <c r="B7" s="68" t="n">
        <f aca="false">Assumptions!$C$30</f>
        <v>89</v>
      </c>
      <c r="C7" s="67" t="s">
        <v>118</v>
      </c>
      <c r="D7" s="67" t="s">
        <v>679</v>
      </c>
      <c r="E7" s="67" t="s">
        <v>680</v>
      </c>
      <c r="F7" s="67" t="s">
        <v>681</v>
      </c>
      <c r="G7" s="67" t="s">
        <v>116</v>
      </c>
      <c r="H7" s="67" t="s">
        <v>677</v>
      </c>
    </row>
    <row r="8" customFormat="false" ht="37.5" hidden="false" customHeight="true" outlineLevel="0" collapsed="false">
      <c r="A8" s="64" t="s">
        <v>682</v>
      </c>
      <c r="B8" s="65" t="n">
        <f aca="false">Assumptions!$C$31</f>
        <v>69</v>
      </c>
      <c r="C8" s="64" t="s">
        <v>683</v>
      </c>
      <c r="D8" s="64" t="s">
        <v>684</v>
      </c>
      <c r="E8" s="64" t="s">
        <v>680</v>
      </c>
      <c r="F8" s="64" t="s">
        <v>685</v>
      </c>
      <c r="G8" s="64" t="s">
        <v>116</v>
      </c>
      <c r="H8" s="64" t="s">
        <v>677</v>
      </c>
    </row>
    <row r="9" customFormat="false" ht="37.5" hidden="false" customHeight="true" outlineLevel="0" collapsed="false">
      <c r="A9" s="67" t="s">
        <v>686</v>
      </c>
      <c r="B9" s="67" t="n">
        <f aca="false">Assumptions!$C$84</f>
        <v>7</v>
      </c>
      <c r="C9" s="67" t="s">
        <v>240</v>
      </c>
      <c r="D9" s="67" t="s">
        <v>687</v>
      </c>
      <c r="E9" s="67" t="s">
        <v>688</v>
      </c>
      <c r="F9" s="67" t="s">
        <v>689</v>
      </c>
      <c r="G9" s="67" t="s">
        <v>116</v>
      </c>
      <c r="H9" s="67" t="s">
        <v>690</v>
      </c>
    </row>
    <row r="10" customFormat="false" ht="37.5" hidden="false" customHeight="true" outlineLevel="0" collapsed="false">
      <c r="A10" s="64" t="s">
        <v>691</v>
      </c>
      <c r="B10" s="64" t="s">
        <v>692</v>
      </c>
      <c r="C10" s="64" t="s">
        <v>693</v>
      </c>
      <c r="D10" s="64" t="s">
        <v>694</v>
      </c>
      <c r="E10" s="64" t="s">
        <v>695</v>
      </c>
      <c r="F10" s="64" t="s">
        <v>696</v>
      </c>
      <c r="G10" s="64" t="s">
        <v>116</v>
      </c>
      <c r="H10" s="64" t="s">
        <v>264</v>
      </c>
    </row>
    <row r="11" customFormat="false" ht="37.5" hidden="false" customHeight="true" outlineLevel="0" collapsed="false">
      <c r="A11" s="67" t="s">
        <v>697</v>
      </c>
      <c r="B11" s="67" t="s">
        <v>692</v>
      </c>
      <c r="C11" s="67" t="s">
        <v>693</v>
      </c>
      <c r="D11" s="67" t="s">
        <v>693</v>
      </c>
      <c r="E11" s="67" t="s">
        <v>693</v>
      </c>
      <c r="F11" s="67" t="s">
        <v>698</v>
      </c>
      <c r="G11" s="67" t="s">
        <v>116</v>
      </c>
      <c r="H11" s="67" t="s">
        <v>264</v>
      </c>
    </row>
    <row r="12" customFormat="false" ht="37.5" hidden="false" customHeight="true" outlineLevel="0" collapsed="false">
      <c r="A12" s="64" t="s">
        <v>699</v>
      </c>
      <c r="B12" s="64" t="n">
        <f aca="false">Assumptions!$C$94</f>
        <v>30</v>
      </c>
      <c r="C12" s="64" t="s">
        <v>240</v>
      </c>
      <c r="D12" s="64" t="s">
        <v>700</v>
      </c>
      <c r="E12" s="64" t="s">
        <v>701</v>
      </c>
      <c r="F12" s="64" t="s">
        <v>702</v>
      </c>
      <c r="G12" s="64" t="s">
        <v>703</v>
      </c>
      <c r="H12" s="64" t="s">
        <v>704</v>
      </c>
    </row>
    <row r="15" customFormat="false" ht="22.5" hidden="false" customHeight="true" outlineLevel="0" collapsed="false">
      <c r="A15" s="62" t="s">
        <v>705</v>
      </c>
      <c r="B15" s="62"/>
      <c r="C15" s="62"/>
      <c r="D15" s="62"/>
      <c r="E15" s="62"/>
      <c r="F15" s="62"/>
      <c r="G15" s="62"/>
      <c r="H15" s="62"/>
    </row>
    <row r="16" customFormat="false" ht="15" hidden="false" customHeight="false" outlineLevel="0" collapsed="false">
      <c r="A16" s="73" t="s">
        <v>706</v>
      </c>
      <c r="B16" s="73" t="s">
        <v>707</v>
      </c>
      <c r="C16" s="73" t="s">
        <v>708</v>
      </c>
      <c r="D16" s="73" t="s">
        <v>709</v>
      </c>
      <c r="E16" s="73" t="s">
        <v>710</v>
      </c>
      <c r="F16" s="73" t="s">
        <v>711</v>
      </c>
      <c r="G16" s="73" t="s">
        <v>712</v>
      </c>
      <c r="H16" s="73" t="s">
        <v>572</v>
      </c>
    </row>
    <row r="17" customFormat="false" ht="42" hidden="false" customHeight="true" outlineLevel="0" collapsed="false">
      <c r="A17" s="67" t="s">
        <v>713</v>
      </c>
      <c r="B17" s="96" t="n">
        <f aca="false">Assumptions!$C$85</f>
        <v>25000</v>
      </c>
      <c r="C17" s="96" t="n">
        <f aca="false">Assumptions!$C$89</f>
        <v>15</v>
      </c>
      <c r="D17" s="85" t="n">
        <f aca="false">B17/C17</f>
        <v>1666.66666666667</v>
      </c>
      <c r="E17" s="69" t="n">
        <f aca="false">Assumptions!$C$92</f>
        <v>0.35</v>
      </c>
      <c r="F17" s="85" t="n">
        <f aca="false">D17/E17</f>
        <v>4761.90476190476</v>
      </c>
      <c r="G17" s="96" t="n">
        <f aca="false">B17/F17</f>
        <v>5.25</v>
      </c>
      <c r="H17" s="67" t="s">
        <v>714</v>
      </c>
    </row>
    <row r="18" customFormat="false" ht="42" hidden="false" customHeight="true" outlineLevel="0" collapsed="false">
      <c r="A18" s="64" t="s">
        <v>715</v>
      </c>
      <c r="B18" s="97" t="n">
        <f aca="false">Assumptions!$C$86</f>
        <v>17000</v>
      </c>
      <c r="C18" s="97" t="n">
        <f aca="false">Assumptions!$C$90</f>
        <v>28</v>
      </c>
      <c r="D18" s="84" t="n">
        <f aca="false">B18/C18</f>
        <v>607.142857142857</v>
      </c>
      <c r="E18" s="66" t="n">
        <f aca="false">Assumptions!$C$93</f>
        <v>0.25</v>
      </c>
      <c r="F18" s="84" t="n">
        <f aca="false">D18/E18</f>
        <v>2428.57142857143</v>
      </c>
      <c r="G18" s="97" t="n">
        <f aca="false">B18/F18</f>
        <v>7</v>
      </c>
      <c r="H18" s="64" t="s">
        <v>716</v>
      </c>
    </row>
    <row r="19" customFormat="false" ht="42" hidden="false" customHeight="true" outlineLevel="0" collapsed="false">
      <c r="A19" s="67" t="s">
        <v>717</v>
      </c>
      <c r="B19" s="96" t="n">
        <f aca="false">Assumptions!$C$87</f>
        <v>28000</v>
      </c>
      <c r="C19" s="96" t="n">
        <f aca="false">Assumptions!$C$90</f>
        <v>28</v>
      </c>
      <c r="D19" s="85" t="n">
        <f aca="false">B19/C19</f>
        <v>1000</v>
      </c>
      <c r="E19" s="69" t="n">
        <f aca="false">Assumptions!$C$93</f>
        <v>0.25</v>
      </c>
      <c r="F19" s="85" t="n">
        <f aca="false">D19/E19</f>
        <v>4000</v>
      </c>
      <c r="G19" s="96" t="n">
        <f aca="false">B19/F19</f>
        <v>7</v>
      </c>
      <c r="H19" s="67" t="s">
        <v>718</v>
      </c>
    </row>
    <row r="20" customFormat="false" ht="42" hidden="false" customHeight="true" outlineLevel="0" collapsed="false">
      <c r="A20" s="70" t="s">
        <v>719</v>
      </c>
      <c r="B20" s="98" t="n">
        <f aca="false">SUM(B17:B19)</f>
        <v>70000</v>
      </c>
      <c r="C20" s="98" t="n">
        <f aca="false">B20/SUM(D17:D19)</f>
        <v>21.3818181818182</v>
      </c>
      <c r="D20" s="99" t="n">
        <f aca="false">SUM(D17:D19)</f>
        <v>3273.80952380952</v>
      </c>
      <c r="E20" s="72" t="n">
        <f aca="false">SUM(D17:D19)/SUM(F17:F19)</f>
        <v>0.292553191489362</v>
      </c>
      <c r="F20" s="99" t="n">
        <f aca="false">SUM(F17:F19)</f>
        <v>11190.4761904762</v>
      </c>
      <c r="G20" s="98" t="n">
        <f aca="false">B20/F20</f>
        <v>6.25531914893617</v>
      </c>
      <c r="H20" s="70" t="s">
        <v>720</v>
      </c>
    </row>
    <row r="23" customFormat="false" ht="22.5" hidden="false" customHeight="true" outlineLevel="0" collapsed="false">
      <c r="A23" s="62" t="s">
        <v>721</v>
      </c>
      <c r="B23" s="62"/>
      <c r="C23" s="62"/>
      <c r="D23" s="62"/>
      <c r="E23" s="62"/>
      <c r="F23" s="62"/>
      <c r="G23" s="62"/>
      <c r="H23" s="62"/>
    </row>
    <row r="24" customFormat="false" ht="61.5" hidden="false" customHeight="true" outlineLevel="0" collapsed="false">
      <c r="A24" s="100" t="s">
        <v>722</v>
      </c>
      <c r="B24" s="100"/>
      <c r="C24" s="100"/>
      <c r="D24" s="100"/>
      <c r="E24" s="100"/>
      <c r="F24" s="100"/>
      <c r="G24" s="100"/>
      <c r="H24" s="100"/>
    </row>
  </sheetData>
  <mergeCells count="6">
    <mergeCell ref="A1:H1"/>
    <mergeCell ref="A2:H2"/>
    <mergeCell ref="A4:H4"/>
    <mergeCell ref="A15:H15"/>
    <mergeCell ref="A23:H23"/>
    <mergeCell ref="A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3.33"/>
    <col collapsed="false" customWidth="true" hidden="false" outlineLevel="0" max="2" min="2" style="1" width="15.56"/>
    <col collapsed="false" customWidth="true" hidden="false" outlineLevel="0" max="8" min="3" style="1" width="25.56"/>
  </cols>
  <sheetData>
    <row r="1" customFormat="false" ht="25.5" hidden="false" customHeight="true" outlineLevel="0" collapsed="false">
      <c r="A1" s="2" t="s">
        <v>723</v>
      </c>
      <c r="B1" s="2"/>
      <c r="C1" s="2"/>
      <c r="D1" s="2"/>
      <c r="E1" s="2"/>
      <c r="F1" s="2"/>
      <c r="G1" s="2"/>
      <c r="H1" s="2"/>
    </row>
    <row r="2" customFormat="false" ht="24" hidden="false" customHeight="true" outlineLevel="0" collapsed="false">
      <c r="A2" s="3" t="s">
        <v>724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17.25" hidden="false" customHeight="true" outlineLevel="0" collapsed="false">
      <c r="A4" s="5" t="s">
        <v>725</v>
      </c>
      <c r="B4" s="5"/>
      <c r="C4" s="5"/>
      <c r="D4" s="5"/>
      <c r="E4" s="4"/>
      <c r="F4" s="4"/>
      <c r="G4" s="4"/>
      <c r="H4" s="4"/>
    </row>
    <row r="5" customFormat="false" ht="15" hidden="false" customHeight="true" outlineLevel="0" collapsed="false">
      <c r="A5" s="7" t="s">
        <v>726</v>
      </c>
      <c r="B5" s="8" t="s">
        <v>112</v>
      </c>
      <c r="C5" s="8" t="s">
        <v>65</v>
      </c>
      <c r="D5" s="9" t="s">
        <v>727</v>
      </c>
      <c r="E5" s="4"/>
      <c r="F5" s="4"/>
      <c r="G5" s="4"/>
      <c r="H5" s="4"/>
    </row>
    <row r="6" customFormat="false" ht="15" hidden="false" customHeight="true" outlineLevel="0" collapsed="false">
      <c r="A6" s="4" t="s">
        <v>728</v>
      </c>
      <c r="B6" s="101" t="n">
        <f aca="false">SUM('P&amp;L 36 Months'!B12:AK12)-SUM('Physical Business'!B18:AK18)-SUM('Growth Extensions'!B11:AK11)-SUM('Growth Extensions'!B15:AK15)-SUM('AI Cohorts'!B32:AK32)</f>
        <v>0</v>
      </c>
      <c r="C6" s="4" t="str">
        <f aca="false">IF(ABS(B6)&lt;0.01,"OK","ERROR")</f>
        <v>OK</v>
      </c>
      <c r="D6" s="4" t="s">
        <v>729</v>
      </c>
      <c r="E6" s="4"/>
      <c r="F6" s="4"/>
      <c r="G6" s="4"/>
      <c r="H6" s="4"/>
    </row>
    <row r="7" customFormat="false" ht="15" hidden="false" customHeight="true" outlineLevel="0" collapsed="false">
      <c r="A7" s="4" t="s">
        <v>730</v>
      </c>
      <c r="B7" s="101" t="n">
        <f aca="false">SUM('Cash &amp; Funding'!B12:AK12)-SUM('Cash &amp; Funding'!B10:AK10)-SUM('Cash &amp; Funding'!B11:AK11)</f>
        <v>0</v>
      </c>
      <c r="C7" s="4" t="str">
        <f aca="false">IF(ABS(B7)&lt;0.01,"OK","ERROR")</f>
        <v>OK</v>
      </c>
      <c r="D7" s="4" t="s">
        <v>731</v>
      </c>
      <c r="E7" s="4"/>
      <c r="F7" s="4"/>
      <c r="G7" s="4"/>
      <c r="H7" s="4"/>
    </row>
    <row r="8" customFormat="false" ht="15" hidden="false" customHeight="true" outlineLevel="0" collapsed="false">
      <c r="A8" s="4" t="s">
        <v>732</v>
      </c>
      <c r="B8" s="101" t="n">
        <f aca="false">SUM('AI Cohorts'!B15:AK15)-SUM('AI Cohorts'!B17:AK19)</f>
        <v>0</v>
      </c>
      <c r="C8" s="4" t="str">
        <f aca="false">IF(ABS(B8)&lt;0.01,"OK","ERROR")</f>
        <v>OK</v>
      </c>
      <c r="D8" s="4" t="s">
        <v>733</v>
      </c>
      <c r="E8" s="4"/>
      <c r="F8" s="4"/>
      <c r="G8" s="4"/>
      <c r="H8" s="4"/>
    </row>
    <row r="9" customFormat="false" ht="15" hidden="false" customHeight="true" outlineLevel="0" collapsed="false">
      <c r="A9" s="4" t="s">
        <v>734</v>
      </c>
      <c r="B9" s="101" t="n">
        <f aca="false">MIN('Physical Business'!B14:AK14)</f>
        <v>621.739130434783</v>
      </c>
      <c r="C9" s="4" t="str">
        <f aca="false">IF(B9&gt;=0,"OK","ERROR")</f>
        <v>OK</v>
      </c>
      <c r="D9" s="4" t="s">
        <v>735</v>
      </c>
      <c r="E9" s="4"/>
      <c r="F9" s="4"/>
      <c r="G9" s="4"/>
      <c r="H9" s="4"/>
    </row>
    <row r="10" customFormat="false" ht="15" hidden="false" customHeight="true" outlineLevel="0" collapsed="false">
      <c r="A10" s="4" t="s">
        <v>736</v>
      </c>
      <c r="B10" s="101" t="n">
        <f aca="false">MIN('AI Cohorts'!B26:AK26)</f>
        <v>0</v>
      </c>
      <c r="C10" s="4" t="str">
        <f aca="false">IF(B10&gt;=0,"OK","ERROR")</f>
        <v>OK</v>
      </c>
      <c r="D10" s="4" t="s">
        <v>737</v>
      </c>
      <c r="E10" s="4"/>
      <c r="F10" s="4"/>
      <c r="G10" s="4"/>
      <c r="H10" s="4"/>
    </row>
    <row r="11" customFormat="false" ht="15" hidden="false" customHeight="true" outlineLevel="0" collapsed="false">
      <c r="A11" s="4" t="s">
        <v>738</v>
      </c>
      <c r="B11" s="4" t="n">
        <f aca="false">IF(OR(Assumptions!B5="Downside",Assumptions!B5="Base",Assumptions!B5="Upside"),1,0)</f>
        <v>1</v>
      </c>
      <c r="C11" s="4" t="str">
        <f aca="false">IF(B11=1,"OK","ERROR")</f>
        <v>OK</v>
      </c>
      <c r="D11" s="4" t="s">
        <v>739</v>
      </c>
      <c r="E11" s="4"/>
      <c r="F11" s="4"/>
      <c r="G11" s="4"/>
      <c r="H11" s="4"/>
    </row>
    <row r="12" customFormat="false" ht="15" hidden="false" customHeight="true" outlineLevel="0" collapsed="false">
      <c r="A12" s="4" t="s">
        <v>740</v>
      </c>
      <c r="B12" s="12" t="n">
        <f aca="false">Assumptions!C46</f>
        <v>0</v>
      </c>
      <c r="C12" s="4" t="str">
        <f aca="false">IF(B12&gt;=0,"OK","ERROR")</f>
        <v>OK</v>
      </c>
      <c r="D12" s="4" t="s">
        <v>741</v>
      </c>
      <c r="E12" s="4"/>
      <c r="F12" s="4"/>
      <c r="G12" s="4"/>
      <c r="H12" s="4"/>
    </row>
    <row r="13" customFormat="false" ht="15" hidden="false" customHeight="true" outlineLevel="0" collapsed="false">
      <c r="A13" s="4" t="s">
        <v>742</v>
      </c>
      <c r="B13" s="4" t="n">
        <f aca="false">SUM('Team Blueprint'!E6:E13)+'Team &amp; Opex'!T13</f>
        <v>0</v>
      </c>
      <c r="C13" s="4" t="str">
        <f aca="false">IF(ABS(B13)&lt;0.01,"OK","ERROR")</f>
        <v>OK</v>
      </c>
      <c r="D13" s="4" t="s">
        <v>743</v>
      </c>
      <c r="E13" s="4"/>
      <c r="F13" s="4"/>
      <c r="G13" s="4"/>
      <c r="H13" s="4"/>
    </row>
    <row r="14" customFormat="false" ht="15" hidden="false" customHeight="true" outlineLevel="0" collapsed="false">
      <c r="A14" s="4" t="s">
        <v>744</v>
      </c>
      <c r="B14" s="4" t="n">
        <f aca="false">IF(OR(Assumptions!E5="Test",Assumptions!E5="Scale"),1,0)</f>
        <v>1</v>
      </c>
      <c r="C14" s="4" t="str">
        <f aca="false">IF(B14=1,"OK","ERROR")</f>
        <v>OK</v>
      </c>
      <c r="D14" s="4" t="s">
        <v>745</v>
      </c>
      <c r="E14" s="4"/>
      <c r="F14" s="4"/>
      <c r="G14" s="4"/>
      <c r="H14" s="4"/>
    </row>
    <row r="15" customFormat="false" ht="15" hidden="false" customHeight="true" outlineLevel="0" collapsed="false">
      <c r="A15" s="4" t="s">
        <v>746</v>
      </c>
      <c r="B15" s="4" t="n">
        <f aca="false">IF(OR(Assumptions!E6="On",Assumptions!E6="Off"),1,0)</f>
        <v>1</v>
      </c>
      <c r="C15" s="4" t="str">
        <f aca="false">IF(B15=1,"OK","ERROR")</f>
        <v>OK</v>
      </c>
      <c r="D15" s="4" t="s">
        <v>747</v>
      </c>
      <c r="E15" s="4"/>
      <c r="F15" s="4"/>
      <c r="G15" s="4"/>
      <c r="H15" s="4"/>
    </row>
    <row r="16" customFormat="false" ht="15" hidden="false" customHeight="true" outlineLevel="0" collapsed="false">
      <c r="A16" s="4" t="s">
        <v>748</v>
      </c>
      <c r="B16" s="39" t="n">
        <f aca="false">Assumptions!C70</f>
        <v>2.8016137295082</v>
      </c>
      <c r="C16" s="4" t="str">
        <f aca="false">IF(IF(Assumptions!E5="Scale",B16&gt;=3,B16&gt;=2),"OK","REVIEW")</f>
        <v>OK</v>
      </c>
      <c r="D16" s="4" t="s">
        <v>749</v>
      </c>
      <c r="E16" s="4"/>
      <c r="F16" s="4"/>
      <c r="G16" s="4"/>
      <c r="H16" s="4"/>
    </row>
    <row r="17" customFormat="false" ht="15" hidden="false" customHeight="true" outlineLevel="0" collapsed="false">
      <c r="A17" s="4" t="s">
        <v>750</v>
      </c>
      <c r="B17" s="102" t="n">
        <f aca="false">SUM('Use of Proceeds'!B6:B12)-Assumptions!C47</f>
        <v>0</v>
      </c>
      <c r="C17" s="4" t="str">
        <f aca="false">IF(ABS(B17)&lt;0.01,"OK","ERROR")</f>
        <v>OK</v>
      </c>
      <c r="D17" s="4" t="s">
        <v>751</v>
      </c>
      <c r="E17" s="4"/>
      <c r="F17" s="4"/>
      <c r="G17" s="4"/>
      <c r="H17" s="4"/>
    </row>
    <row r="18" customFormat="false" ht="17.25" hidden="false" customHeight="true" outlineLevel="0" collapsed="false">
      <c r="A18" s="4" t="s">
        <v>752</v>
      </c>
      <c r="B18" s="103" t="n">
        <f aca="false">MIN(Assumptions!C37:C39)</f>
        <v>5.02049180327869</v>
      </c>
      <c r="C18" s="4" t="str">
        <f aca="false">IF(B18&gt;0,"OK","ERROR")</f>
        <v>OK</v>
      </c>
      <c r="D18" s="4" t="s">
        <v>753</v>
      </c>
      <c r="E18" s="4"/>
      <c r="F18" s="4"/>
      <c r="G18" s="4"/>
      <c r="H18" s="4"/>
    </row>
    <row r="19" customFormat="false" ht="15" hidden="false" customHeight="true" outlineLevel="0" collapsed="false">
      <c r="A19" s="4" t="s">
        <v>754</v>
      </c>
      <c r="B19" s="22" t="n">
        <f aca="false">'Accelerated Case'!M30</f>
        <v>3261.83576661019</v>
      </c>
      <c r="C19" s="4" t="str">
        <f aca="false">IF(AND(B19&gt;=3000,B19&lt;=3500),"OK","REVIEW")</f>
        <v>OK</v>
      </c>
      <c r="D19" s="4" t="s">
        <v>755</v>
      </c>
      <c r="E19" s="4"/>
      <c r="F19" s="4"/>
      <c r="G19" s="4"/>
      <c r="H19" s="4"/>
    </row>
    <row r="20" customFormat="false" ht="23.25" hidden="false" customHeight="true" outlineLevel="0" collapsed="false">
      <c r="A20" s="4" t="s">
        <v>756</v>
      </c>
      <c r="B20" s="22" t="n">
        <f aca="false">'Accelerated Case'!Y30</f>
        <v>4736.06285383355</v>
      </c>
      <c r="C20" s="4" t="str">
        <f aca="false">IF(AND(B20&gt;=4500,B20&lt;=5500),"OK","REVIEW")</f>
        <v>OK</v>
      </c>
      <c r="D20" s="4" t="s">
        <v>757</v>
      </c>
      <c r="E20" s="4"/>
      <c r="F20" s="4"/>
      <c r="G20" s="4"/>
      <c r="H20" s="4"/>
    </row>
    <row r="21" customFormat="false" ht="23.25" hidden="false" customHeight="true" outlineLevel="0" collapsed="false">
      <c r="A21" s="4" t="s">
        <v>758</v>
      </c>
      <c r="B21" s="102" t="n">
        <f aca="false">SUM('Capital Gates'!C5:C7)</f>
        <v>285000</v>
      </c>
      <c r="C21" s="4" t="str">
        <f aca="false">IF(B21=285000,"OK","ERROR")</f>
        <v>OK</v>
      </c>
      <c r="D21" s="4" t="s">
        <v>759</v>
      </c>
      <c r="E21" s="4"/>
      <c r="F21" s="4"/>
      <c r="G21" s="4"/>
      <c r="H21" s="4"/>
    </row>
    <row r="22" customFormat="false" ht="15" hidden="false" customHeight="tru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23.25" hidden="false" customHeight="true" outlineLevel="0" collapsed="false">
      <c r="A23" s="5" t="s">
        <v>760</v>
      </c>
      <c r="B23" s="5"/>
      <c r="C23" s="5"/>
      <c r="D23" s="5"/>
      <c r="E23" s="5"/>
      <c r="F23" s="5"/>
      <c r="G23" s="5"/>
      <c r="H23" s="5"/>
    </row>
    <row r="24" customFormat="false" ht="23.25" hidden="false" customHeight="true" outlineLevel="0" collapsed="false">
      <c r="A24" s="7" t="s">
        <v>761</v>
      </c>
      <c r="B24" s="8" t="s">
        <v>762</v>
      </c>
      <c r="C24" s="8" t="s">
        <v>763</v>
      </c>
      <c r="D24" s="8" t="s">
        <v>764</v>
      </c>
      <c r="E24" s="8" t="s">
        <v>268</v>
      </c>
      <c r="F24" s="8" t="s">
        <v>765</v>
      </c>
      <c r="G24" s="8" t="s">
        <v>766</v>
      </c>
      <c r="H24" s="9" t="s">
        <v>767</v>
      </c>
    </row>
    <row r="25" customFormat="false" ht="23.25" hidden="false" customHeight="true" outlineLevel="0" collapsed="false">
      <c r="A25" s="25" t="s">
        <v>768</v>
      </c>
      <c r="B25" s="25" t="s">
        <v>769</v>
      </c>
      <c r="C25" s="25" t="s">
        <v>770</v>
      </c>
      <c r="D25" s="25" t="s">
        <v>771</v>
      </c>
      <c r="E25" s="25" t="s">
        <v>772</v>
      </c>
      <c r="F25" s="25" t="s">
        <v>773</v>
      </c>
      <c r="G25" s="25" t="s">
        <v>774</v>
      </c>
      <c r="H25" s="25" t="s">
        <v>775</v>
      </c>
    </row>
    <row r="26" customFormat="false" ht="23.25" hidden="false" customHeight="true" outlineLevel="0" collapsed="false">
      <c r="A26" s="25" t="s">
        <v>776</v>
      </c>
      <c r="B26" s="25" t="s">
        <v>777</v>
      </c>
      <c r="C26" s="25" t="s">
        <v>778</v>
      </c>
      <c r="D26" s="25" t="s">
        <v>779</v>
      </c>
      <c r="E26" s="25" t="s">
        <v>780</v>
      </c>
      <c r="F26" s="25" t="s">
        <v>773</v>
      </c>
      <c r="G26" s="25" t="s">
        <v>781</v>
      </c>
      <c r="H26" s="25" t="s">
        <v>782</v>
      </c>
    </row>
    <row r="27" customFormat="false" ht="34.5" hidden="false" customHeight="true" outlineLevel="0" collapsed="false">
      <c r="A27" s="25" t="s">
        <v>783</v>
      </c>
      <c r="B27" s="25" t="s">
        <v>784</v>
      </c>
      <c r="C27" s="25" t="s">
        <v>770</v>
      </c>
      <c r="D27" s="25" t="s">
        <v>785</v>
      </c>
      <c r="E27" s="25" t="s">
        <v>786</v>
      </c>
      <c r="F27" s="25" t="s">
        <v>773</v>
      </c>
      <c r="G27" s="25" t="s">
        <v>781</v>
      </c>
      <c r="H27" s="25" t="s">
        <v>787</v>
      </c>
    </row>
    <row r="28" customFormat="false" ht="15" hidden="false" customHeight="true" outlineLevel="0" collapsed="false">
      <c r="A28" s="25" t="s">
        <v>788</v>
      </c>
      <c r="B28" s="25" t="s">
        <v>789</v>
      </c>
      <c r="C28" s="25" t="s">
        <v>790</v>
      </c>
      <c r="D28" s="25" t="s">
        <v>791</v>
      </c>
      <c r="E28" s="25" t="s">
        <v>792</v>
      </c>
      <c r="F28" s="25" t="s">
        <v>793</v>
      </c>
      <c r="G28" s="25" t="s">
        <v>774</v>
      </c>
      <c r="H28" s="25" t="s">
        <v>794</v>
      </c>
    </row>
    <row r="29" customFormat="false" ht="35.05" hidden="false" customHeight="false" outlineLevel="0" collapsed="false">
      <c r="A29" s="25" t="s">
        <v>795</v>
      </c>
      <c r="B29" s="25" t="s">
        <v>796</v>
      </c>
      <c r="C29" s="25" t="s">
        <v>797</v>
      </c>
      <c r="D29" s="25" t="s">
        <v>798</v>
      </c>
      <c r="E29" s="25" t="s">
        <v>799</v>
      </c>
      <c r="F29" s="25" t="s">
        <v>800</v>
      </c>
      <c r="G29" s="25" t="s">
        <v>801</v>
      </c>
      <c r="H29" s="25" t="s">
        <v>802</v>
      </c>
    </row>
    <row r="30" customFormat="false" ht="23.85" hidden="false" customHeight="false" outlineLevel="0" collapsed="false">
      <c r="A30" s="25" t="s">
        <v>803</v>
      </c>
      <c r="B30" s="25" t="s">
        <v>804</v>
      </c>
      <c r="C30" s="25" t="s">
        <v>805</v>
      </c>
      <c r="D30" s="25" t="s">
        <v>806</v>
      </c>
      <c r="E30" s="25" t="s">
        <v>807</v>
      </c>
      <c r="F30" s="25" t="s">
        <v>773</v>
      </c>
      <c r="G30" s="25" t="s">
        <v>781</v>
      </c>
      <c r="H30" s="25" t="s">
        <v>808</v>
      </c>
    </row>
    <row r="31" customFormat="false" ht="23.85" hidden="false" customHeight="false" outlineLevel="0" collapsed="false">
      <c r="A31" s="25" t="s">
        <v>809</v>
      </c>
      <c r="B31" s="25" t="s">
        <v>810</v>
      </c>
      <c r="C31" s="25" t="s">
        <v>770</v>
      </c>
      <c r="D31" s="25" t="s">
        <v>811</v>
      </c>
      <c r="E31" s="25" t="s">
        <v>799</v>
      </c>
      <c r="F31" s="25" t="s">
        <v>812</v>
      </c>
      <c r="G31" s="25" t="s">
        <v>781</v>
      </c>
      <c r="H31" s="25" t="s">
        <v>813</v>
      </c>
    </row>
    <row r="32" customFormat="false" ht="35.05" hidden="false" customHeight="false" outlineLevel="0" collapsed="false">
      <c r="A32" s="25" t="s">
        <v>814</v>
      </c>
      <c r="B32" s="25" t="s">
        <v>815</v>
      </c>
      <c r="C32" s="25" t="s">
        <v>816</v>
      </c>
      <c r="D32" s="25" t="s">
        <v>817</v>
      </c>
      <c r="E32" s="25" t="s">
        <v>818</v>
      </c>
      <c r="F32" s="25" t="s">
        <v>773</v>
      </c>
      <c r="G32" s="25" t="s">
        <v>781</v>
      </c>
      <c r="H32" s="25" t="s">
        <v>819</v>
      </c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</row>
  </sheetData>
  <mergeCells count="4">
    <mergeCell ref="A1:H1"/>
    <mergeCell ref="A2:H2"/>
    <mergeCell ref="A4:D4"/>
    <mergeCell ref="A23:H23"/>
  </mergeCells>
  <conditionalFormatting sqref="C6:C16">
    <cfRule type="containsText" priority="2" operator="containsText" aboveAverage="0" equalAverage="0" bottom="0" percent="0" rank="0" text="ERROR" dxfId="0">
      <formula>NOT(ISERROR(SEARCH("ERROR",C6)))</formula>
    </cfRule>
    <cfRule type="containsText" priority="3" operator="containsText" aboveAverage="0" equalAverage="0" bottom="0" percent="0" rank="0" text="OK" dxfId="6">
      <formula>NOT(ISERROR(SEARCH("OK",C6)))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2026-07-21T18:05:17Z</dcterms:created>
  <dc:creator>TUPENSACI</dc:creator>
  <dc:description>Base prudente e scenario Accelerato separato; round €300k con uso dei proventi e gate; pricing aggiornato e nuova architettura del funnel.</dc:description>
  <dc:language>it-IT</dc:language>
  <cp:lastModifiedBy/>
  <dcterms:modified xsi:type="dcterms:W3CDTF">2026-08-09T14:03:53Z</dcterms:modified>
  <cp:revision>0</cp:revision>
  <dc:subject>Pricing €9/€89/€69, trial guidato e scenario Accelerato gated</dc:subject>
  <dc:title>TUPENSACI Business Plan 360 v3.0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